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Earthquakes/"/>
    </mc:Choice>
  </mc:AlternateContent>
  <xr:revisionPtr revIDLastSave="0" documentId="8_{A890B670-57B6-F646-9AD9-99DCA4E6BA02}" xr6:coauthVersionLast="47" xr6:coauthVersionMax="47" xr10:uidLastSave="{00000000-0000-0000-0000-000000000000}"/>
  <bookViews>
    <workbookView xWindow="14600" yWindow="620" windowWidth="14200" windowHeight="18000" tabRatio="500" xr2:uid="{00000000-000D-0000-FFFF-FFFF00000000}"/>
  </bookViews>
  <sheets>
    <sheet name="Earthquakes" sheetId="10" r:id="rId1"/>
    <sheet name="-Disclaimer-" sheetId="2" r:id="rId2"/>
  </sheets>
  <definedNames>
    <definedName name="_xlnm.Print_Area" localSheetId="0">Earthquakes!$B$1:$I$75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3" i="10"/>
  <c r="H44" i="10"/>
  <c r="H45" i="10"/>
  <c r="H47" i="10"/>
  <c r="H58" i="10"/>
  <c r="H59" i="10"/>
  <c r="H61" i="10"/>
  <c r="H72" i="10"/>
  <c r="H73" i="10"/>
  <c r="G60" i="10" l="1"/>
  <c r="F60" i="10"/>
  <c r="G22" i="10"/>
  <c r="F22" i="10"/>
  <c r="F46" i="10"/>
  <c r="G46" i="10"/>
  <c r="G8" i="10"/>
  <c r="F8" i="10"/>
  <c r="H5" i="10"/>
  <c r="H60" i="10" l="1"/>
  <c r="H22" i="10"/>
  <c r="H46" i="10"/>
  <c r="H8" i="10"/>
</calcChain>
</file>

<file path=xl/sharedStrings.xml><?xml version="1.0" encoding="utf-8"?>
<sst xmlns="http://schemas.openxmlformats.org/spreadsheetml/2006/main" count="120" uniqueCount="83">
  <si>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</si>
  <si>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</si>
  <si>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</si>
  <si>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</si>
  <si>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</si>
  <si>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</si>
  <si>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</si>
  <si>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</si>
  <si>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</si>
  <si>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</si>
  <si>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</si>
  <si>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</si>
  <si>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</si>
  <si>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</si>
  <si>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</si>
  <si>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</si>
  <si>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</si>
  <si>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</si>
  <si>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</si>
  <si>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</si>
  <si>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</si>
  <si>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</si>
  <si>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</si>
  <si>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</si>
  <si>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6b06d94, 08ed70b</t>
  </si>
  <si>
    <t>SHA 21f9598, e081761</t>
  </si>
  <si>
    <t>#10 Create Student class</t>
  </si>
  <si>
    <t>SHA 3f51e34, 8a2a698, b86d860, c3464c2, 825723b, ff508cc, 330ecc6, cd4b81e</t>
  </si>
  <si>
    <t>#15 Create a Professor class</t>
  </si>
  <si>
    <t>https://www.smartsheet.com/top-project-management-excel-templates?srsltid=AfmBOorM8KTqo0GkEazFKhVFp3ozfOh-BifeI1KKxQxM0WpR5p08gBRL</t>
  </si>
  <si>
    <r>
      <rPr>
        <sz val="11"/>
        <color rgb="FFFF0000"/>
        <rFont val="Century Gothic"/>
        <family val="1"/>
      </rPr>
      <t>#</t>
    </r>
    <r>
      <rPr>
        <sz val="11"/>
        <color theme="1"/>
        <rFont val="Century Gothic"/>
        <family val="1"/>
      </rPr>
      <t xml:space="preserve"> Update README with 6 numbered, prioritized projects</t>
    </r>
  </si>
  <si>
    <t>What is this use case's user story number?  If no user story, make sure you add this as a user story in our final sprint.</t>
  </si>
  <si>
    <t>Oh no, Assignment08's 700 points is a third of all points this semester and you have no commits!</t>
  </si>
  <si>
    <t>Nov 26th: 0 commits</t>
  </si>
  <si>
    <t>Nov 26th: 31 commits, +1076, -281</t>
  </si>
  <si>
    <t>Nov 26th: 10 commits, +77, -30</t>
  </si>
  <si>
    <t>Nov 26th: 11 commits, +1505, -637</t>
  </si>
  <si>
    <t>Project Development Team</t>
  </si>
  <si>
    <t>#5 As a student I want to be able to see my previous schedules from other semesters</t>
  </si>
  <si>
    <t>#50 As a dev I want to be able to display the CRNs in descending order</t>
  </si>
  <si>
    <t>#34 As a designer I want the Admin menu to have Welcome message banner</t>
  </si>
  <si>
    <t>#47 As a designer I want a label for  that introduces the student before printing the student information</t>
  </si>
  <si>
    <t>#43 As a tester I want to test that the code runs following only the information given in the rule and requirements documentation</t>
  </si>
  <si>
    <t>#38 As a designer I want the student major to be displayed with ascii art</t>
  </si>
  <si>
    <t>#29 As a doc/writer I want a Attendance.csv</t>
  </si>
  <si>
    <t>#22 As a tester I want to test the Course class</t>
  </si>
  <si>
    <t>#23 As a tester I want to test the Student class</t>
  </si>
  <si>
    <t>#20 As a dev I would like to be able to create a course to assign to a professor and/or students.</t>
  </si>
  <si>
    <t>#40 As a designer I want the fiscal clearance label to be printed in all capital letters</t>
  </si>
  <si>
    <t># 16 As a dev I want a University Database.csv</t>
  </si>
  <si>
    <t>#14 As a dev I want a Course class</t>
  </si>
  <si>
    <t>#18 As a dev I want to be able to have a menu for the admin</t>
  </si>
  <si>
    <t xml:space="preserve">#21 As an admin I want to be able to access student’s transcripts </t>
  </si>
  <si>
    <t xml:space="preserve">#24 Create unittests for Admin.py </t>
  </si>
  <si>
    <t xml:space="preserve">This user case was assigned to chloe, but the testing document was not made when I needed to create a test for my new Admin.py methods so I had to make the testing doc for Admin.py and decided to create tests the whole class, since I was already testing my methods. </t>
  </si>
  <si>
    <t>Upload standup_meetings.txt</t>
  </si>
  <si>
    <t>There is no user story number because this task was assigned during class</t>
  </si>
  <si>
    <t>SHA 109f87b not a use case but necessary for code to run as intended</t>
  </si>
  <si>
    <t xml:space="preserve">SHA a3cf1fb </t>
  </si>
  <si>
    <t xml:space="preserve">SHA 109f87b , f573d19, 26d8a13, 3718357 </t>
  </si>
  <si>
    <t xml:space="preserve">SHA 813d528, 0e43d79, 
c6466c3 </t>
  </si>
  <si>
    <t>SHA c6466c3 is a test needed for pull request to be accepted</t>
  </si>
  <si>
    <t xml:space="preserve">SHA a4a5221 </t>
  </si>
  <si>
    <t xml:space="preserve">SHA df55a75 </t>
  </si>
  <si>
    <t xml:space="preserve">Update tester name in README.md </t>
  </si>
  <si>
    <t xml:space="preserve">SHA b82e2d7 </t>
  </si>
  <si>
    <t>Task given by lead, not user story number</t>
  </si>
  <si>
    <t xml:space="preserve">SHA 91964cb </t>
  </si>
  <si>
    <t>This SHA is for the user case to implement course class in admin_driver.py</t>
  </si>
  <si>
    <t xml:space="preserve">SHA 4c3f236 , 2c0753d </t>
  </si>
  <si>
    <t xml:space="preserve">SHA db6963e </t>
  </si>
  <si>
    <t xml:space="preserve">SHA cd4b81e, ed7e555 </t>
  </si>
  <si>
    <t>SHA ed7e555  is a test needed for pull request to be accepted</t>
  </si>
  <si>
    <t xml:space="preserve">SHA 376ae76, 6b80137 </t>
  </si>
  <si>
    <t>SHA 6b80137 is fixing a design error I discovered during testing</t>
  </si>
  <si>
    <t xml:space="preserve">No SHA because it didn’t require code changes, just me runnning code </t>
  </si>
  <si>
    <t xml:space="preserve">SHA 56d0e75 </t>
  </si>
  <si>
    <t xml:space="preserve">SHA 3a25d79 </t>
  </si>
  <si>
    <t>SHA 0ba8eb1</t>
  </si>
  <si>
    <t xml:space="preserve">SHA 900e58e </t>
  </si>
  <si>
    <t xml:space="preserve">SHA 42e5033 </t>
  </si>
  <si>
    <t xml:space="preserve">SHA 2e5c0a5 , 1a6c1c6 </t>
  </si>
  <si>
    <t>SHA 1a6c1c6 is a test needed for pull request to be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</si>
</sst>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93">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164" fontId="5" fillId="0" borderId="5" xfId="0" applyNumberFormat="1" applyFont="1" applyBorder="1" applyAlignment="1">
      <alignment horizontal="right" vertical="center" wrapText="1" indent="1" readingOrder="1"/>
    </xf>
    <xf numFmtId="164" fontId="5" fillId="0" borderId="4" xfId="0" applyNumberFormat="1" applyFont="1" applyBorder="1" applyAlignment="1">
      <alignment horizontal="right" vertical="center" wrapText="1" indent="1" readingOrder="1"/>
    </xf>
    <xf numFmtId="1" fontId="4" fillId="15" borderId="5" xfId="0" applyNumberFormat="1" applyFont="1" applyFill="1" applyBorder="1" applyAlignment="1">
      <alignment horizontal="right" vertical="center" wrapText="1" indent="1"/>
    </xf>
    <xf numFmtId="1" fontId="4" fillId="15" borderId="4" xfId="0" applyNumberFormat="1" applyFont="1" applyFill="1" applyBorder="1" applyAlignment="1">
      <alignment horizontal="right" vertical="center" wrapText="1" indent="1"/>
    </xf>
    <xf numFmtId="0" fontId="4" fillId="2" borderId="5"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Border="1" applyAlignment="1">
      <alignment horizontal="left" vertical="center" wrapText="1" indent="2"/>
    </xf>
    <xf numFmtId="0" fontId="9" fillId="0" borderId="4" xfId="0" applyFont="1" applyBorder="1" applyAlignment="1">
      <alignment horizontal="left" vertical="center" wrapText="1" indent="2"/>
    </xf>
    <xf numFmtId="0" fontId="5" fillId="2" borderId="5" xfId="0" applyFont="1" applyFill="1" applyBorder="1" applyAlignment="1">
      <alignment horizontal="left" vertical="center" wrapText="1" indent="1" readingOrder="1"/>
    </xf>
    <xf numFmtId="0" fontId="5" fillId="2" borderId="4" xfId="0" applyFont="1" applyFill="1" applyBorder="1" applyAlignment="1">
      <alignment horizontal="left" vertical="center" wrapText="1" indent="1" readingOrder="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64" fontId="4" fillId="2" borderId="5" xfId="0" applyNumberFormat="1" applyFont="1" applyFill="1" applyBorder="1" applyAlignment="1">
      <alignment horizontal="left" vertical="center" wrapText="1" indent="1"/>
    </xf>
    <xf numFmtId="164" fontId="4" fillId="2" borderId="4" xfId="0" applyNumberFormat="1"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Earthquakes!$F$8:$F$73</c:f>
              <c:numCache>
                <c:formatCode>m/d;@</c:formatCode>
                <c:ptCount val="66"/>
                <c:pt idx="0">
                  <c:v>45983</c:v>
                </c:pt>
                <c:pt idx="12">
                  <c:v>45983</c:v>
                </c:pt>
                <c:pt idx="13">
                  <c:v>45992</c:v>
                </c:pt>
                <c:pt idx="14">
                  <c:v>45976</c:v>
                </c:pt>
                <c:pt idx="15">
                  <c:v>45976</c:v>
                </c:pt>
                <c:pt idx="16">
                  <c:v>45990</c:v>
                </c:pt>
                <c:pt idx="17">
                  <c:v>45990</c:v>
                </c:pt>
                <c:pt idx="19">
                  <c:v>45984</c:v>
                </c:pt>
                <c:pt idx="20">
                  <c:v>45984</c:v>
                </c:pt>
                <c:pt idx="21">
                  <c:v>45984</c:v>
                </c:pt>
                <c:pt idx="22">
                  <c:v>45986</c:v>
                </c:pt>
                <c:pt idx="23">
                  <c:v>45984</c:v>
                </c:pt>
                <c:pt idx="24">
                  <c:v>45984</c:v>
                </c:pt>
                <c:pt idx="25">
                  <c:v>45986</c:v>
                </c:pt>
                <c:pt idx="26">
                  <c:v>45986</c:v>
                </c:pt>
                <c:pt idx="27">
                  <c:v>45986</c:v>
                </c:pt>
                <c:pt idx="28">
                  <c:v>45986</c:v>
                </c:pt>
                <c:pt idx="29">
                  <c:v>45976</c:v>
                </c:pt>
                <c:pt idx="30">
                  <c:v>45978</c:v>
                </c:pt>
                <c:pt idx="31">
                  <c:v>45978</c:v>
                </c:pt>
                <c:pt idx="32">
                  <c:v>45990</c:v>
                </c:pt>
                <c:pt idx="34">
                  <c:v>45981</c:v>
                </c:pt>
                <c:pt idx="35">
                  <c:v>45976</c:v>
                </c:pt>
                <c:pt idx="36">
                  <c:v>45983</c:v>
                </c:pt>
                <c:pt idx="37">
                  <c:v>45992</c:v>
                </c:pt>
                <c:pt idx="38">
                  <c:v>45973</c:v>
                </c:pt>
                <c:pt idx="39">
                  <c:v>45973</c:v>
                </c:pt>
                <c:pt idx="50">
                  <c:v>45983</c:v>
                </c:pt>
                <c:pt idx="51">
                  <c:v>45992</c:v>
                </c:pt>
                <c:pt idx="52">
                  <c:v>45983</c:v>
                </c:pt>
                <c:pt idx="53">
                  <c:v>45984</c:v>
                </c:pt>
                <c:pt idx="64">
                  <c:v>45983</c:v>
                </c:pt>
                <c:pt idx="65">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Earthquakes!$H$8:$H$73</c:f>
              <c:numCache>
                <c:formatCode>0</c:formatCode>
                <c:ptCount val="66"/>
                <c:pt idx="0">
                  <c:v>17</c:v>
                </c:pt>
                <c:pt idx="12">
                  <c:v>17</c:v>
                </c:pt>
                <c:pt idx="13">
                  <c:v>1</c:v>
                </c:pt>
                <c:pt idx="14">
                  <c:v>24</c:v>
                </c:pt>
                <c:pt idx="15">
                  <c:v>1</c:v>
                </c:pt>
                <c:pt idx="16">
                  <c:v>1</c:v>
                </c:pt>
                <c:pt idx="17">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4">
                  <c:v>1</c:v>
                </c:pt>
                <c:pt idx="35">
                  <c:v>1</c:v>
                </c:pt>
                <c:pt idx="36">
                  <c:v>17</c:v>
                </c:pt>
                <c:pt idx="37">
                  <c:v>1</c:v>
                </c:pt>
                <c:pt idx="38" formatCode="General">
                  <c:v>27</c:v>
                </c:pt>
                <c:pt idx="39">
                  <c:v>3</c:v>
                </c:pt>
                <c:pt idx="50">
                  <c:v>17</c:v>
                </c:pt>
                <c:pt idx="51">
                  <c:v>1</c:v>
                </c:pt>
                <c:pt idx="52" formatCode="General">
                  <c:v>17</c:v>
                </c:pt>
                <c:pt idx="53">
                  <c:v>1</c:v>
                </c:pt>
                <c:pt idx="64">
                  <c:v>17</c:v>
                </c:pt>
                <c:pt idx="6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73</xdr:row>
      <xdr:rowOff>114300</xdr:rowOff>
    </xdr:from>
    <xdr:to>
      <xdr:col>8</xdr:col>
      <xdr:colOff>3860800</xdr:colOff>
      <xdr:row>75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27</xdr:row>
      <xdr:rowOff>50800</xdr:rowOff>
    </xdr:from>
    <xdr:to>
      <xdr:col>19</xdr:col>
      <xdr:colOff>203200</xdr:colOff>
      <xdr:row>32</xdr:row>
      <xdr:rowOff>88900</xdr:rowOff>
    </xdr:to>
    <xdr:pic>
      <xdr:nvPicPr>
        <xdr:cNvPr id="7" name="Picture 6">
          <a:extLst>
            <a:ext uri="{FF2B5EF4-FFF2-40B4-BE49-F238E27FC236}">
              <a16:creationId xmlns:a16="http://schemas.microsoft.com/office/drawing/2014/main" id="{F1B708C3-BD56-CB31-FFC4-B572917964BB}"/>
            </a:ext>
          </a:extLst>
        </xdr:cNvPr>
        <xdr:cNvPicPr>
          <a:picLocks noChangeAspect="1"/>
        </xdr:cNvPicPr>
      </xdr:nvPicPr>
      <xdr:blipFill>
        <a:blip xmlns:r="http://schemas.openxmlformats.org/officeDocument/2006/relationships" r:embed="rId2"/>
        <a:stretch>
          <a:fillRect/>
        </a:stretch>
      </xdr:blipFill>
      <xdr:spPr>
        <a:xfrm>
          <a:off x="15773400" y="8547100"/>
          <a:ext cx="7620000" cy="1625600"/>
        </a:xfrm>
        <a:prstGeom prst="rect">
          <a:avLst/>
        </a:prstGeom>
      </xdr:spPr>
    </xdr:pic>
    <xdr:clientData/>
  </xdr:twoCellAnchor>
  <xdr:twoCellAnchor editAs="oneCell">
    <xdr:from>
      <xdr:col>9</xdr:col>
      <xdr:colOff>241300</xdr:colOff>
      <xdr:row>49</xdr:row>
      <xdr:rowOff>50800</xdr:rowOff>
    </xdr:from>
    <xdr:to>
      <xdr:col>19</xdr:col>
      <xdr:colOff>76200</xdr:colOff>
      <xdr:row>54</xdr:row>
      <xdr:rowOff>88900</xdr:rowOff>
    </xdr:to>
    <xdr:pic>
      <xdr:nvPicPr>
        <xdr:cNvPr id="8" name="Picture 7">
          <a:extLst>
            <a:ext uri="{FF2B5EF4-FFF2-40B4-BE49-F238E27FC236}">
              <a16:creationId xmlns:a16="http://schemas.microsoft.com/office/drawing/2014/main" id="{D377F803-37DE-E9DC-03E7-5E17D9B6BEF5}"/>
            </a:ext>
          </a:extLst>
        </xdr:cNvPr>
        <xdr:cNvPicPr>
          <a:picLocks noChangeAspect="1"/>
        </xdr:cNvPicPr>
      </xdr:nvPicPr>
      <xdr:blipFill>
        <a:blip xmlns:r="http://schemas.openxmlformats.org/officeDocument/2006/relationships" r:embed="rId3"/>
        <a:stretch>
          <a:fillRect/>
        </a:stretch>
      </xdr:blipFill>
      <xdr:spPr>
        <a:xfrm>
          <a:off x="15646400" y="12712700"/>
          <a:ext cx="7620000" cy="1625600"/>
        </a:xfrm>
        <a:prstGeom prst="rect">
          <a:avLst/>
        </a:prstGeom>
      </xdr:spPr>
    </xdr:pic>
    <xdr:clientData/>
  </xdr:twoCellAnchor>
  <xdr:twoCellAnchor editAs="oneCell">
    <xdr:from>
      <xdr:col>9</xdr:col>
      <xdr:colOff>241300</xdr:colOff>
      <xdr:row>63</xdr:row>
      <xdr:rowOff>76200</xdr:rowOff>
    </xdr:from>
    <xdr:to>
      <xdr:col>19</xdr:col>
      <xdr:colOff>76200</xdr:colOff>
      <xdr:row>68</xdr:row>
      <xdr:rowOff>114300</xdr:rowOff>
    </xdr:to>
    <xdr:pic>
      <xdr:nvPicPr>
        <xdr:cNvPr id="9" name="Picture 8">
          <a:extLst>
            <a:ext uri="{FF2B5EF4-FFF2-40B4-BE49-F238E27FC236}">
              <a16:creationId xmlns:a16="http://schemas.microsoft.com/office/drawing/2014/main" id="{07723E09-AB12-A456-7F97-65D0B0956D55}"/>
            </a:ext>
          </a:extLst>
        </xdr:cNvPr>
        <xdr:cNvPicPr>
          <a:picLocks noChangeAspect="1"/>
        </xdr:cNvPicPr>
      </xdr:nvPicPr>
      <xdr:blipFill>
        <a:blip xmlns:r="http://schemas.openxmlformats.org/officeDocument/2006/relationships" r:embed="rId4"/>
        <a:stretch>
          <a:fillRect/>
        </a:stretch>
      </xdr:blipFill>
      <xdr:spPr>
        <a:xfrm>
          <a:off x="15646400" y="175768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19"/>
  <sheetViews>
    <sheetView showGridLines="0" tabSelected="1" topLeftCell="B1" workbookViewId="0">
      <pane ySplit="1" topLeftCell="A10" activePane="bottomLeft" state="frozen"/>
      <selection pane="bottomLeft" activeCell="F28" sqref="F28"/>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23</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17</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37</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19</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c r="D9" s="3"/>
      <c r="E9" s="4"/>
      <c r="F9" s="40"/>
      <c r="G9" s="40"/>
      <c r="H9" s="45"/>
      <c r="I9" s="78" t="s">
        <v>32</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72"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20</v>
      </c>
      <c r="D22" s="57"/>
      <c r="E22" s="58"/>
      <c r="F22" s="59">
        <f>MIN(F23:F45)</f>
        <v>45976</v>
      </c>
      <c r="G22" s="60">
        <f>MAX(G23:G45)</f>
        <v>45999</v>
      </c>
      <c r="H22" s="76">
        <f t="shared" si="0"/>
        <v>24</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5" outlineLevel="1" x14ac:dyDescent="0.15">
      <c r="A23" s="8"/>
      <c r="B23" s="2"/>
      <c r="C23" s="14" t="s">
        <v>26</v>
      </c>
      <c r="D23" s="3" t="s">
        <v>0</v>
      </c>
      <c r="E23" s="13" t="s">
        <v>25</v>
      </c>
      <c r="F23" s="40">
        <v>45976</v>
      </c>
      <c r="G23" s="40">
        <v>45976</v>
      </c>
      <c r="H23" s="46">
        <f t="shared" si="0"/>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52</v>
      </c>
      <c r="D24" s="3" t="s">
        <v>0</v>
      </c>
      <c r="E24" s="13" t="s">
        <v>59</v>
      </c>
      <c r="F24" s="40">
        <v>45990</v>
      </c>
      <c r="G24" s="40">
        <v>45990</v>
      </c>
      <c r="H24" s="46">
        <v>1</v>
      </c>
      <c r="I24" s="2" t="s">
        <v>57</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83"/>
      <c r="C25" s="85" t="s">
        <v>38</v>
      </c>
      <c r="D25" s="87" t="s">
        <v>0</v>
      </c>
      <c r="E25" s="89" t="s">
        <v>60</v>
      </c>
      <c r="F25" s="79">
        <v>45990</v>
      </c>
      <c r="G25" s="79">
        <v>45990</v>
      </c>
      <c r="H25" s="81">
        <v>1</v>
      </c>
      <c r="I25" s="83" t="s">
        <v>61</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84"/>
      <c r="C26" s="86"/>
      <c r="D26" s="88"/>
      <c r="E26" s="90"/>
      <c r="F26" s="80"/>
      <c r="G26" s="80"/>
      <c r="H26" s="82"/>
      <c r="I26" s="84"/>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39</v>
      </c>
      <c r="D27" s="3" t="s">
        <v>0</v>
      </c>
      <c r="E27" s="13" t="s">
        <v>81</v>
      </c>
      <c r="F27" s="40">
        <v>45984</v>
      </c>
      <c r="G27" s="40">
        <v>45984</v>
      </c>
      <c r="H27" s="46">
        <v>1</v>
      </c>
      <c r="I27" s="2" t="s">
        <v>82</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40</v>
      </c>
      <c r="D28" s="3" t="s">
        <v>0</v>
      </c>
      <c r="E28" s="13" t="s">
        <v>80</v>
      </c>
      <c r="F28" s="40">
        <v>45984</v>
      </c>
      <c r="G28" s="40">
        <v>45984</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41</v>
      </c>
      <c r="D29" s="3" t="s">
        <v>0</v>
      </c>
      <c r="E29" s="13" t="s">
        <v>79</v>
      </c>
      <c r="F29" s="40">
        <v>45984</v>
      </c>
      <c r="G29" s="40">
        <v>45984</v>
      </c>
      <c r="H29" s="46">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42</v>
      </c>
      <c r="D30" s="3" t="s">
        <v>0</v>
      </c>
      <c r="E30" s="13"/>
      <c r="F30" s="40">
        <v>45986</v>
      </c>
      <c r="G30" s="40">
        <v>45986</v>
      </c>
      <c r="H30" s="46">
        <v>1</v>
      </c>
      <c r="I30" s="2" t="s">
        <v>75</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t="s">
        <v>43</v>
      </c>
      <c r="D31" s="3" t="s">
        <v>0</v>
      </c>
      <c r="E31" s="13" t="s">
        <v>78</v>
      </c>
      <c r="F31" s="40">
        <v>45984</v>
      </c>
      <c r="G31" s="40">
        <v>45984</v>
      </c>
      <c r="H31" s="46">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t="s">
        <v>44</v>
      </c>
      <c r="D32" s="3" t="s">
        <v>0</v>
      </c>
      <c r="E32" s="13" t="s">
        <v>77</v>
      </c>
      <c r="F32" s="40">
        <v>45984</v>
      </c>
      <c r="G32" s="40">
        <v>45984</v>
      </c>
      <c r="H32" s="46">
        <v>1</v>
      </c>
      <c r="I32" s="2"/>
      <c r="J32" s="8"/>
      <c r="K32" s="1"/>
      <c r="L32" s="8"/>
      <c r="M32" s="8"/>
      <c r="N32" s="8"/>
      <c r="O32" s="8"/>
      <c r="P32" s="8"/>
      <c r="Q32" s="8"/>
      <c r="R32" s="8"/>
      <c r="S32" s="8"/>
      <c r="T32" s="8"/>
      <c r="U32" s="8"/>
      <c r="V32" s="8"/>
      <c r="W32" s="8" t="s">
        <v>34</v>
      </c>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t="s">
        <v>45</v>
      </c>
      <c r="D33" s="3" t="s">
        <v>0</v>
      </c>
      <c r="E33" s="13" t="s">
        <v>76</v>
      </c>
      <c r="F33" s="40">
        <v>45986</v>
      </c>
      <c r="G33" s="40">
        <v>45986</v>
      </c>
      <c r="H33" s="46">
        <v>1</v>
      </c>
      <c r="I33" s="2"/>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46</v>
      </c>
      <c r="D34" s="3" t="s">
        <v>0</v>
      </c>
      <c r="E34" s="13" t="s">
        <v>73</v>
      </c>
      <c r="F34" s="40">
        <v>45986</v>
      </c>
      <c r="G34" s="40">
        <v>45986</v>
      </c>
      <c r="H34" s="46">
        <v>1</v>
      </c>
      <c r="I34" s="2" t="s">
        <v>74</v>
      </c>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x14ac:dyDescent="0.15">
      <c r="A35" s="8"/>
      <c r="B35" s="2"/>
      <c r="C35" s="14" t="s">
        <v>47</v>
      </c>
      <c r="D35" s="3" t="s">
        <v>0</v>
      </c>
      <c r="E35" s="13" t="s">
        <v>71</v>
      </c>
      <c r="F35" s="40">
        <v>45986</v>
      </c>
      <c r="G35" s="40">
        <v>45986</v>
      </c>
      <c r="H35" s="46">
        <v>1</v>
      </c>
      <c r="I35" s="2" t="s">
        <v>72</v>
      </c>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5" customHeight="1" outlineLevel="1" x14ac:dyDescent="0.15">
      <c r="A36" s="8"/>
      <c r="B36" s="2"/>
      <c r="C36" s="14" t="s">
        <v>48</v>
      </c>
      <c r="D36" s="3" t="s">
        <v>0</v>
      </c>
      <c r="E36" s="13" t="s">
        <v>70</v>
      </c>
      <c r="F36" s="40">
        <v>45986</v>
      </c>
      <c r="G36" s="40">
        <v>45986</v>
      </c>
      <c r="H36" s="46">
        <v>1</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5" customHeight="1" outlineLevel="1" x14ac:dyDescent="0.15">
      <c r="A37" s="8"/>
      <c r="B37" s="2"/>
      <c r="C37" s="14" t="s">
        <v>49</v>
      </c>
      <c r="D37" s="3" t="s">
        <v>0</v>
      </c>
      <c r="E37" s="13" t="s">
        <v>62</v>
      </c>
      <c r="F37" s="40">
        <v>45976</v>
      </c>
      <c r="G37" s="40">
        <v>45976</v>
      </c>
      <c r="H37" s="46">
        <v>1</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50</v>
      </c>
      <c r="D38" s="3" t="s">
        <v>0</v>
      </c>
      <c r="E38" s="13" t="s">
        <v>69</v>
      </c>
      <c r="F38" s="40">
        <v>45978</v>
      </c>
      <c r="G38" s="40">
        <v>45978</v>
      </c>
      <c r="H38" s="46">
        <v>1</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51</v>
      </c>
      <c r="D39" s="3" t="s">
        <v>0</v>
      </c>
      <c r="E39" s="13" t="s">
        <v>67</v>
      </c>
      <c r="F39" s="40">
        <v>45978</v>
      </c>
      <c r="G39" s="40">
        <v>45978</v>
      </c>
      <c r="H39" s="46">
        <v>1</v>
      </c>
      <c r="I39" s="2" t="s">
        <v>68</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83"/>
      <c r="C40" s="85" t="s">
        <v>53</v>
      </c>
      <c r="D40" s="87" t="s">
        <v>0</v>
      </c>
      <c r="E40" s="91" t="s">
        <v>58</v>
      </c>
      <c r="F40" s="79">
        <v>45990</v>
      </c>
      <c r="G40" s="79">
        <v>45990</v>
      </c>
      <c r="H40" s="81">
        <v>1</v>
      </c>
      <c r="I40" s="83" t="s">
        <v>54</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84"/>
      <c r="C41" s="86"/>
      <c r="D41" s="88"/>
      <c r="E41" s="92"/>
      <c r="F41" s="80"/>
      <c r="G41" s="80"/>
      <c r="H41" s="82"/>
      <c r="I41" s="84"/>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55</v>
      </c>
      <c r="D42" s="3" t="s">
        <v>0</v>
      </c>
      <c r="E42" s="13" t="s">
        <v>63</v>
      </c>
      <c r="F42" s="40">
        <v>45981</v>
      </c>
      <c r="G42" s="40">
        <v>45981</v>
      </c>
      <c r="H42" s="46">
        <v>1</v>
      </c>
      <c r="I42" s="2" t="s">
        <v>56</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64</v>
      </c>
      <c r="D43" s="3" t="s">
        <v>0</v>
      </c>
      <c r="E43" s="13" t="s">
        <v>65</v>
      </c>
      <c r="F43" s="40">
        <v>45976</v>
      </c>
      <c r="G43" s="40">
        <v>45976</v>
      </c>
      <c r="H43" s="46">
        <v>1</v>
      </c>
      <c r="I43" s="2" t="s">
        <v>66</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16</v>
      </c>
      <c r="D44" s="3" t="s">
        <v>0</v>
      </c>
      <c r="E44" s="13"/>
      <c r="F44" s="40">
        <v>45983</v>
      </c>
      <c r="G44" s="40">
        <v>45999</v>
      </c>
      <c r="H44" s="46">
        <f t="shared" si="0"/>
        <v>17</v>
      </c>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thickBot="1" x14ac:dyDescent="0.2">
      <c r="A45" s="8"/>
      <c r="B45" s="2"/>
      <c r="C45" s="14" t="s">
        <v>15</v>
      </c>
      <c r="D45" s="15" t="s">
        <v>0</v>
      </c>
      <c r="E45" s="17"/>
      <c r="F45" s="42">
        <v>45992</v>
      </c>
      <c r="G45" s="43">
        <v>45992</v>
      </c>
      <c r="H45" s="46">
        <f t="shared" si="0"/>
        <v>1</v>
      </c>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55" customFormat="1" ht="25" customHeight="1" x14ac:dyDescent="0.15">
      <c r="A46" s="47"/>
      <c r="B46" s="48"/>
      <c r="C46" s="48" t="s">
        <v>21</v>
      </c>
      <c r="D46" s="49"/>
      <c r="E46" s="50"/>
      <c r="F46" s="51">
        <f>MIN(F47:F59)</f>
        <v>45973</v>
      </c>
      <c r="G46" s="52">
        <f>MAX(G47:G59)</f>
        <v>45999</v>
      </c>
      <c r="H46" s="75">
        <f t="shared" si="0"/>
        <v>27</v>
      </c>
      <c r="I46" s="53"/>
      <c r="J46" s="47"/>
      <c r="K46" s="1"/>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c r="IR46" s="47"/>
      <c r="IS46" s="47"/>
      <c r="IT46" s="47"/>
      <c r="IU46" s="47"/>
      <c r="IV46" s="47"/>
      <c r="IW46" s="47"/>
      <c r="IX46" s="47"/>
    </row>
    <row r="47" spans="1:258" s="9" customFormat="1" ht="28" outlineLevel="1" x14ac:dyDescent="0.15">
      <c r="A47" s="8"/>
      <c r="B47" s="2"/>
      <c r="C47" s="14" t="s">
        <v>30</v>
      </c>
      <c r="D47" s="3" t="s">
        <v>3</v>
      </c>
      <c r="E47" s="12" t="s">
        <v>24</v>
      </c>
      <c r="F47" s="40">
        <v>45973</v>
      </c>
      <c r="G47" s="41">
        <v>45975</v>
      </c>
      <c r="H47" s="77">
        <f t="shared" si="0"/>
        <v>3</v>
      </c>
      <c r="I47" s="78" t="s">
        <v>31</v>
      </c>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c r="D48" s="3"/>
      <c r="E48" s="12"/>
      <c r="F48" s="40"/>
      <c r="G48" s="40"/>
      <c r="H48" s="77"/>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x14ac:dyDescent="0.15">
      <c r="A49" s="8"/>
      <c r="B49" s="2"/>
      <c r="C49" s="14"/>
      <c r="D49" s="3"/>
      <c r="E49" s="12"/>
      <c r="F49" s="40"/>
      <c r="G49" s="40"/>
      <c r="H49" s="77"/>
      <c r="I49" s="2"/>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5" customHeight="1" outlineLevel="1" x14ac:dyDescent="0.15">
      <c r="A50" s="8"/>
      <c r="B50" s="2"/>
      <c r="C50" s="14"/>
      <c r="D50" s="3"/>
      <c r="E50" s="12"/>
      <c r="F50" s="40"/>
      <c r="G50" s="40"/>
      <c r="H50" s="77"/>
      <c r="I50" s="2"/>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5" customHeight="1" outlineLevel="1" x14ac:dyDescent="0.15">
      <c r="A51" s="8"/>
      <c r="B51" s="2"/>
      <c r="C51" s="14"/>
      <c r="D51" s="3"/>
      <c r="E51" s="12"/>
      <c r="F51" s="40"/>
      <c r="G51" s="40"/>
      <c r="H51" s="77"/>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2"/>
      <c r="F52" s="40"/>
      <c r="G52" s="40"/>
      <c r="H52" s="77"/>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2"/>
      <c r="F53" s="40"/>
      <c r="G53" s="40"/>
      <c r="H53" s="77"/>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2"/>
      <c r="F54" s="40"/>
      <c r="G54" s="40"/>
      <c r="H54" s="77"/>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2"/>
      <c r="F55" s="40"/>
      <c r="G55" s="40"/>
      <c r="H55" s="77"/>
      <c r="I55" s="2"/>
      <c r="J55" s="8"/>
      <c r="K55" s="1"/>
      <c r="L55" s="8"/>
      <c r="M55" s="8"/>
      <c r="N55" s="8"/>
      <c r="O55" s="8"/>
      <c r="P55" s="8"/>
      <c r="Q55" s="8"/>
      <c r="R55" s="8"/>
      <c r="S55" s="8"/>
      <c r="T55" s="8"/>
      <c r="U55" s="8"/>
      <c r="V55" s="8"/>
      <c r="W55" s="8" t="s">
        <v>35</v>
      </c>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2"/>
      <c r="F56" s="40"/>
      <c r="G56" s="40"/>
      <c r="H56" s="77"/>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2"/>
      <c r="F57" s="40"/>
      <c r="G57" s="40"/>
      <c r="H57" s="77"/>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16</v>
      </c>
      <c r="D58" s="3" t="s">
        <v>4</v>
      </c>
      <c r="E58" s="13"/>
      <c r="F58" s="40">
        <v>45983</v>
      </c>
      <c r="G58" s="40">
        <v>45999</v>
      </c>
      <c r="H58" s="77">
        <f t="shared" si="0"/>
        <v>17</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thickBot="1" x14ac:dyDescent="0.2">
      <c r="A59" s="8"/>
      <c r="B59" s="16"/>
      <c r="C59" s="14" t="s">
        <v>15</v>
      </c>
      <c r="D59" s="15" t="s">
        <v>4</v>
      </c>
      <c r="E59" s="17"/>
      <c r="F59" s="42">
        <v>45992</v>
      </c>
      <c r="G59" s="43">
        <v>45992</v>
      </c>
      <c r="H59" s="77">
        <f t="shared" si="0"/>
        <v>1</v>
      </c>
      <c r="I59" s="16"/>
      <c r="J59" s="8"/>
      <c r="K59" s="1"/>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55" customFormat="1" ht="25" customHeight="1" x14ac:dyDescent="0.15">
      <c r="A60" s="47"/>
      <c r="B60" s="68"/>
      <c r="C60" s="68" t="s">
        <v>22</v>
      </c>
      <c r="D60" s="69"/>
      <c r="E60" s="70"/>
      <c r="F60" s="71">
        <f>MIN(F61:F73)</f>
        <v>45983</v>
      </c>
      <c r="G60" s="72">
        <f>MAX(G61:G73)</f>
        <v>45999</v>
      </c>
      <c r="H60" s="74">
        <f t="shared" si="0"/>
        <v>17</v>
      </c>
      <c r="I60" s="73"/>
      <c r="J60" s="47"/>
      <c r="K60" s="1"/>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c r="IR60" s="47"/>
      <c r="IS60" s="47"/>
      <c r="IT60" s="47"/>
      <c r="IU60" s="47"/>
      <c r="IV60" s="47"/>
      <c r="IW60" s="47"/>
      <c r="IX60" s="47"/>
    </row>
    <row r="61" spans="1:258" s="9" customFormat="1" ht="56" outlineLevel="1" x14ac:dyDescent="0.15">
      <c r="A61" s="8"/>
      <c r="B61" s="2"/>
      <c r="C61" s="14" t="s">
        <v>28</v>
      </c>
      <c r="D61" s="3"/>
      <c r="E61" s="13" t="s">
        <v>27</v>
      </c>
      <c r="F61" s="40">
        <v>45984</v>
      </c>
      <c r="G61" s="40">
        <v>45984</v>
      </c>
      <c r="H61" s="33">
        <f t="shared" si="0"/>
        <v>1</v>
      </c>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x14ac:dyDescent="0.15">
      <c r="A63" s="8"/>
      <c r="B63" s="2"/>
      <c r="C63" s="14"/>
      <c r="D63" s="3"/>
      <c r="E63" s="13"/>
      <c r="F63" s="40"/>
      <c r="G63" s="40"/>
      <c r="H63" s="33"/>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5" customHeight="1" outlineLevel="1" x14ac:dyDescent="0.15">
      <c r="A64" s="8"/>
      <c r="B64" s="2"/>
      <c r="C64" s="14"/>
      <c r="D64" s="3"/>
      <c r="E64" s="13"/>
      <c r="F64" s="40"/>
      <c r="G64" s="40"/>
      <c r="H64" s="33"/>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25" customHeight="1" outlineLevel="1" x14ac:dyDescent="0.15">
      <c r="A65" s="8"/>
      <c r="B65" s="2"/>
      <c r="C65" s="14"/>
      <c r="D65" s="3"/>
      <c r="E65" s="13"/>
      <c r="F65" s="40"/>
      <c r="G65" s="40"/>
      <c r="H65" s="33"/>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25" customHeight="1" outlineLevel="1" x14ac:dyDescent="0.1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5" customHeight="1" outlineLevel="1" x14ac:dyDescent="0.1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5" customHeight="1" outlineLevel="1" x14ac:dyDescent="0.1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5" customHeight="1" outlineLevel="1" x14ac:dyDescent="0.15">
      <c r="A69" s="8"/>
      <c r="B69" s="2"/>
      <c r="C69" s="14"/>
      <c r="D69" s="3"/>
      <c r="E69" s="13"/>
      <c r="F69" s="40"/>
      <c r="G69" s="40"/>
      <c r="H69" s="33"/>
      <c r="I69" s="2"/>
      <c r="J69" s="8"/>
      <c r="K69" s="1"/>
      <c r="L69" s="8"/>
      <c r="M69" s="8"/>
      <c r="N69" s="8"/>
      <c r="O69" s="8"/>
      <c r="P69" s="8"/>
      <c r="Q69" s="8"/>
      <c r="R69" s="8"/>
      <c r="S69" s="8"/>
      <c r="T69" s="8"/>
      <c r="U69" s="8"/>
      <c r="V69" s="8"/>
      <c r="W69" s="44" t="s">
        <v>36</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5" customHeight="1" outlineLevel="1" x14ac:dyDescent="0.1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5" customHeight="1" outlineLevel="1" x14ac:dyDescent="0.1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5" customHeight="1" outlineLevel="1" x14ac:dyDescent="0.15">
      <c r="A72" s="8"/>
      <c r="B72" s="2"/>
      <c r="C72" s="14" t="s">
        <v>16</v>
      </c>
      <c r="D72" s="3" t="s">
        <v>4</v>
      </c>
      <c r="E72" s="13"/>
      <c r="F72" s="40">
        <v>45983</v>
      </c>
      <c r="G72" s="40">
        <v>45999</v>
      </c>
      <c r="H72" s="33">
        <f t="shared" si="0"/>
        <v>17</v>
      </c>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5" customHeight="1" outlineLevel="1" thickBot="1" x14ac:dyDescent="0.2">
      <c r="A73" s="8"/>
      <c r="B73" s="16"/>
      <c r="C73" s="14" t="s">
        <v>15</v>
      </c>
      <c r="D73" s="15" t="s">
        <v>4</v>
      </c>
      <c r="E73" s="17"/>
      <c r="F73" s="42">
        <v>45992</v>
      </c>
      <c r="G73" s="43">
        <v>45992</v>
      </c>
      <c r="H73" s="33">
        <f t="shared" ref="H73" si="1">IF(OR(F73=0, ISBLANK(F73)),0,G73-F73+1)</f>
        <v>1</v>
      </c>
      <c r="I73" s="16"/>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ht="300" customHeight="1"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ht="300" customHeight="1"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1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15">
      <c r="A1117" s="1"/>
      <c r="B1117" s="1"/>
      <c r="C1117" s="1"/>
      <c r="D1117" s="1"/>
      <c r="E1117" s="1"/>
      <c r="F1117" s="36"/>
      <c r="G1117" s="36"/>
      <c r="H1117" s="1"/>
      <c r="I1117" s="1"/>
      <c r="J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15">
      <c r="A1118" s="1"/>
      <c r="B1118" s="1"/>
      <c r="C1118" s="1"/>
      <c r="D1118" s="1"/>
      <c r="E1118" s="1"/>
      <c r="F1118" s="36"/>
      <c r="G1118" s="36"/>
      <c r="H1118" s="1"/>
      <c r="I1118" s="1"/>
      <c r="J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15">
      <c r="A1119" s="1"/>
      <c r="B1119" s="1"/>
      <c r="C1119" s="1"/>
      <c r="D1119" s="1"/>
      <c r="E1119" s="1"/>
      <c r="F1119" s="36"/>
      <c r="G1119" s="36"/>
      <c r="H1119" s="1"/>
      <c r="I1119" s="1"/>
      <c r="J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sheetData>
  <mergeCells count="16">
    <mergeCell ref="G25:G26"/>
    <mergeCell ref="H25:H26"/>
    <mergeCell ref="I25:I26"/>
    <mergeCell ref="B40:B41"/>
    <mergeCell ref="B25:B26"/>
    <mergeCell ref="C25:C26"/>
    <mergeCell ref="D25:D26"/>
    <mergeCell ref="E25:E26"/>
    <mergeCell ref="F25:F26"/>
    <mergeCell ref="I40:I41"/>
    <mergeCell ref="C40:C41"/>
    <mergeCell ref="D40:D41"/>
    <mergeCell ref="E40:E41"/>
    <mergeCell ref="F40:F41"/>
    <mergeCell ref="G40:G41"/>
    <mergeCell ref="H40:H41"/>
  </mergeCells>
  <phoneticPr fontId="3" type="noConversion"/>
  <conditionalFormatting sqref="D8:D25 D27:D40 D42:D7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42:D73 D8:D25 D27:D40"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2025-12-02T19:51:12Z</dcterms:modified>
</cp:coreProperties>
</file>