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Earthquakes/"/>
    </mc:Choice>
  </mc:AlternateContent>
  <xr:revisionPtr revIDLastSave="0" documentId="13_ncr:1_{08D59CA2-0CB9-E24F-A680-635C8400F86C}" xr6:coauthVersionLast="47" xr6:coauthVersionMax="47" xr10:uidLastSave="{00000000-0000-0000-0000-000000000000}"/>
  <bookViews>
    <workbookView xWindow="0" yWindow="4480" windowWidth="29040" windowHeight="15720" tabRatio="500" xr2:uid="{00000000-000D-0000-FFFF-FFFF00000000}"/>
  </bookViews>
  <sheets>
    <sheet name="Earthquakes" sheetId="10" r:id="rId1"/>
    <sheet name="-Disclaimer-" sheetId="2" r:id="rId2"/>
  </sheets>
  <definedNames>
    <definedName name="_xlnm.Print_Area" localSheetId="0">Earthquakes!$B$1:$I$71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3" i="10" l="1"/>
  <c r="H66" i="10"/>
  <c r="H62" i="10"/>
  <c r="H64" i="10"/>
  <c r="H67" i="10"/>
  <c r="H65" i="10"/>
  <c r="H20" i="10"/>
  <c r="H21" i="10"/>
  <c r="H23" i="10"/>
  <c r="H44" i="10"/>
  <c r="H45" i="10"/>
  <c r="H47" i="10"/>
  <c r="H58" i="10"/>
  <c r="H59" i="10"/>
  <c r="H61" i="10"/>
  <c r="H68" i="10"/>
  <c r="H69" i="10"/>
  <c r="G60" i="10" l="1"/>
  <c r="F60" i="10"/>
  <c r="G22" i="10"/>
  <c r="F22" i="10"/>
  <c r="F46" i="10"/>
  <c r="G46" i="10"/>
  <c r="G8" i="10"/>
  <c r="F8" i="10"/>
  <c r="H5" i="10"/>
  <c r="H60" i="10" l="1"/>
  <c r="H22" i="10"/>
  <c r="H46" i="10"/>
  <c r="H8" i="10"/>
</calcChain>
</file>

<file path=xl/sharedStrings.xml><?xml version="1.0" encoding="utf-8"?>
<sst xmlns="http://schemas.openxmlformats.org/spreadsheetml/2006/main" count="173" uniqueCount="118">
  <si>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</si>
  <si>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</si>
  <si>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</si>
  <si>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</si>
  <si>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</si>
  <si>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</si>
  <si>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</si>
  <si>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</si>
  <si>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</si>
  <si>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</si>
  <si>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</si>
  <si>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</si>
  <si>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</si>
  <si>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</si>
  <si>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</si>
  <si>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Register</t>
  </si>
  <si>
    <t>Chloe (Designer), DeAnna (Tester), Emilio (Lead), Taylor (SWE)</t>
  </si>
  <si>
    <t>Chloe</t>
  </si>
  <si>
    <t>DeAnna</t>
  </si>
  <si>
    <t>Emilio</t>
  </si>
  <si>
    <t>Taylor</t>
  </si>
  <si>
    <t>Earthquakes Statement of Work</t>
  </si>
  <si>
    <t>SHA 21f9598, e081761</t>
  </si>
  <si>
    <t>#10 Create Student class</t>
  </si>
  <si>
    <t>#15 Create a Professor class</t>
  </si>
  <si>
    <t>https://www.smartsheet.com/top-project-management-excel-templates?srsltid=AfmBOorM8KTqo0GkEazFKhVFp3ozfOh-BifeI1KKxQxM0WpR5p08gBRL</t>
  </si>
  <si>
    <t>Oh no, Assignment08's 700 points is a third of all points this semester and you have no commits!</t>
  </si>
  <si>
    <t>Project Development Team</t>
  </si>
  <si>
    <t>#5 As a student I want to be able to see my previous schedules from other semesters</t>
  </si>
  <si>
    <t>#50 As a dev I want to be able to display the CRNs in descending order</t>
  </si>
  <si>
    <t>#34 As a designer I want the Admin menu to have Welcome message banner</t>
  </si>
  <si>
    <t>#47 As a designer I want a label for  that introduces the student before printing the student information</t>
  </si>
  <si>
    <t>#43 As a tester I want to test that the code runs following only the information given in the rule and requirements documentation</t>
  </si>
  <si>
    <t>#38 As a designer I want the student major to be displayed with ascii art</t>
  </si>
  <si>
    <t>#29 As a doc/writer I want a Attendance.csv</t>
  </si>
  <si>
    <t>#22 As a tester I want to test the Course class</t>
  </si>
  <si>
    <t>#23 As a tester I want to test the Student class</t>
  </si>
  <si>
    <t>#20 As a dev I would like to be able to create a course to assign to a professor and/or students.</t>
  </si>
  <si>
    <t>#40 As a designer I want the fiscal clearance label to be printed in all capital letters</t>
  </si>
  <si>
    <t># 16 As a dev I want a University Database.csv</t>
  </si>
  <si>
    <t>#14 As a dev I want a Course class</t>
  </si>
  <si>
    <t>#18 As a dev I want to be able to have a menu for the admin</t>
  </si>
  <si>
    <t xml:space="preserve">#21 As an admin I want to be able to access student’s transcripts </t>
  </si>
  <si>
    <t xml:space="preserve">#24 Create unittests for Admin.py </t>
  </si>
  <si>
    <t xml:space="preserve">This user case was assigned to chloe, but the testing document was not made when I needed to create a test for my new Admin.py methods so I had to make the testing doc for Admin.py and decided to create tests the whole class, since I was already testing my methods. </t>
  </si>
  <si>
    <t>Upload standup_meetings.txt</t>
  </si>
  <si>
    <t>There is no user story number because this task was assigned during class</t>
  </si>
  <si>
    <t>SHA 109f87b not a use case but necessary for code to run as intended</t>
  </si>
  <si>
    <t xml:space="preserve">SHA a3cf1fb </t>
  </si>
  <si>
    <t xml:space="preserve">SHA 109f87b , f573d19, 26d8a13, 3718357 </t>
  </si>
  <si>
    <t xml:space="preserve">SHA 813d528, 0e43d79, 
c6466c3 </t>
  </si>
  <si>
    <t>SHA c6466c3 is a test needed for pull request to be accepted</t>
  </si>
  <si>
    <t xml:space="preserve">SHA a4a5221 </t>
  </si>
  <si>
    <t xml:space="preserve">SHA df55a75 </t>
  </si>
  <si>
    <t xml:space="preserve">Update tester name in README.md </t>
  </si>
  <si>
    <t xml:space="preserve">SHA b82e2d7 </t>
  </si>
  <si>
    <t>Task given by lead, not user story number</t>
  </si>
  <si>
    <t xml:space="preserve">SHA 91964cb </t>
  </si>
  <si>
    <t>This SHA is for the user case to implement course class in admin_driver.py</t>
  </si>
  <si>
    <t xml:space="preserve">SHA 4c3f236 , 2c0753d </t>
  </si>
  <si>
    <t xml:space="preserve">SHA db6963e </t>
  </si>
  <si>
    <t xml:space="preserve">SHA cd4b81e, ed7e555 </t>
  </si>
  <si>
    <t>SHA ed7e555  is a test needed for pull request to be accepted</t>
  </si>
  <si>
    <t xml:space="preserve">SHA 376ae76, 6b80137 </t>
  </si>
  <si>
    <t>SHA 6b80137 is fixing a design error I discovered during testing</t>
  </si>
  <si>
    <t xml:space="preserve">No SHA because it didn’t require code changes, just me runnning code </t>
  </si>
  <si>
    <t xml:space="preserve">SHA 56d0e75 </t>
  </si>
  <si>
    <t xml:space="preserve">SHA 3a25d79 </t>
  </si>
  <si>
    <t>SHA 0ba8eb1</t>
  </si>
  <si>
    <t xml:space="preserve">SHA 900e58e </t>
  </si>
  <si>
    <t xml:space="preserve">SHA 42e5033 </t>
  </si>
  <si>
    <t xml:space="preserve">SHA 2e5c0a5 , 1a6c1c6 </t>
  </si>
  <si>
    <t>SHA 1a6c1c6 is a test needed for pull request to be accepted</t>
  </si>
  <si>
    <t>#62 Update README with 6 numbered, prioritized projects</t>
  </si>
  <si>
    <t>#9 As the team lead I want to make sure everyone knows how to issue a pull request</t>
  </si>
  <si>
    <t xml:space="preserve">Via Zoom </t>
  </si>
  <si>
    <t>#53 As a lead I want to have a meeting before the release #2 due date to make sure that at least half the tasks are finished</t>
  </si>
  <si>
    <t>#48 As a Team lead i would like to make sure everyone is on track</t>
  </si>
  <si>
    <t>#57 As the lead I want an SDD doc</t>
  </si>
  <si>
    <t>Setting up file structure</t>
  </si>
  <si>
    <t>SHA daa4a26</t>
  </si>
  <si>
    <t>#7 As a student I want to be able to register for my XULA account. Entering Name, email, Password, etc.</t>
  </si>
  <si>
    <t>SHA f75b0f3</t>
  </si>
  <si>
    <t>#30 As a doc/writer I want a updated README about our Release #2</t>
  </si>
  <si>
    <t>SHA 788a70c</t>
  </si>
  <si>
    <t>SHA e035d4d</t>
  </si>
  <si>
    <t>#26 As an advisor I want to be able to change fiscal clearance</t>
  </si>
  <si>
    <t>SHA da2fa49</t>
  </si>
  <si>
    <t>#35 As a doc/writer I want a updated README about our Release #1</t>
  </si>
  <si>
    <t>SHA 78b2e2e</t>
  </si>
  <si>
    <t>#37 As an swe, I want to create a new schedule with at most 19 credits.</t>
  </si>
  <si>
    <t>#25 As a tester, I want to test the Professor class.</t>
  </si>
  <si>
    <t>#42 As a developer, I want to be able to edit the new schedule being given to students.</t>
  </si>
  <si>
    <t>Partial #20 As a developer I would like to be able to create a course to assign to a professor.</t>
  </si>
  <si>
    <t>#27 Test create_schedule function.</t>
  </si>
  <si>
    <t>Partial #48 As a dev I want to be able to have a menu for the admin.</t>
  </si>
  <si>
    <t>SHA 0a86799</t>
  </si>
  <si>
    <t>99c1c48</t>
  </si>
  <si>
    <t>256504b</t>
  </si>
  <si>
    <t>Via Text/Zoom. Throughout the project I reached out on our preferred messaging system and aswell privilty</t>
  </si>
  <si>
    <r>
      <t xml:space="preserve">SHA </t>
    </r>
    <r>
      <rPr>
        <sz val="10"/>
        <color rgb="FFFF0000"/>
        <rFont val="Century Gothic"/>
        <family val="1"/>
      </rPr>
      <t>6b06d94</t>
    </r>
    <r>
      <rPr>
        <sz val="10"/>
        <color theme="1"/>
        <rFont val="Century Gothic"/>
        <family val="1"/>
      </rPr>
      <t>, 08ed70b</t>
    </r>
  </si>
  <si>
    <r>
      <t xml:space="preserve">SHA  </t>
    </r>
    <r>
      <rPr>
        <sz val="10"/>
        <color rgb="FFFF0000"/>
        <rFont val="Century Gothic"/>
        <family val="1"/>
      </rPr>
      <t>1bcf60f</t>
    </r>
  </si>
  <si>
    <t>Admin (__init__, display_info, add_to_database, open)
admin_driver(), load_admin(), and calls</t>
  </si>
  <si>
    <t>edit README</t>
  </si>
  <si>
    <r>
      <t>SHA</t>
    </r>
    <r>
      <rPr>
        <sz val="10"/>
        <rFont val="Century Gothic"/>
        <family val="1"/>
      </rPr>
      <t xml:space="preserve"> f6ff4db</t>
    </r>
  </si>
  <si>
    <t>clear_screen(), load_student(), and calls</t>
  </si>
  <si>
    <t>.gitignore, main_menu(), run_java_signup(), login()
SignUp (main, studentSignUp, professorSignUp, adminSignUp, loadPin, generateID)</t>
  </si>
  <si>
    <t>update new README</t>
  </si>
  <si>
    <t>manage_fiscal_clearance() and calls</t>
  </si>
  <si>
    <r>
      <t xml:space="preserve">SHA 3f51e34, </t>
    </r>
    <r>
      <rPr>
        <sz val="10"/>
        <color rgb="FFFF0000"/>
        <rFont val="Century Gothic"/>
        <family val="1"/>
      </rPr>
      <t>8a2a698</t>
    </r>
    <r>
      <rPr>
        <sz val="10"/>
        <color theme="1"/>
        <rFont val="Century Gothic"/>
        <family val="1"/>
      </rPr>
      <t xml:space="preserve">, b86d860, </t>
    </r>
    <r>
      <rPr>
        <sz val="10"/>
        <color rgb="FFFF0000"/>
        <rFont val="Century Gothic"/>
        <family val="1"/>
      </rPr>
      <t>c3464c2</t>
    </r>
    <r>
      <rPr>
        <sz val="10"/>
        <color theme="1"/>
        <rFont val="Century Gothic"/>
        <family val="1"/>
      </rPr>
      <t xml:space="preserve">, 825723b, </t>
    </r>
    <r>
      <rPr>
        <sz val="10"/>
        <color rgb="FFFF0000"/>
        <rFont val="Century Gothic"/>
        <family val="1"/>
      </rPr>
      <t>ff508cc</t>
    </r>
    <r>
      <rPr>
        <sz val="10"/>
        <color theme="1"/>
        <rFont val="Century Gothic"/>
        <family val="1"/>
      </rPr>
      <t>, 330ecc6, cd4b81e</t>
    </r>
  </si>
  <si>
    <t>Professor (__innit__, display_info, assign_course, remove_course, add_to_database) and calls
load_professor() and calls
assign_professor()</t>
  </si>
  <si>
    <t>pytest</t>
  </si>
  <si>
    <r>
      <t xml:space="preserve">SHA </t>
    </r>
    <r>
      <rPr>
        <sz val="10"/>
        <rFont val="Century Gothic"/>
        <family val="1"/>
      </rPr>
      <t>e7527c7</t>
    </r>
    <r>
      <rPr>
        <sz val="10"/>
        <color theme="1"/>
        <rFont val="Century Gothic"/>
        <family val="1"/>
      </rPr>
      <t>, daf03c2</t>
    </r>
  </si>
  <si>
    <t>create_schedule() and calls</t>
  </si>
  <si>
    <t>Se Row 65</t>
  </si>
  <si>
    <r>
      <t xml:space="preserve">SHA </t>
    </r>
    <r>
      <rPr>
        <sz val="10"/>
        <color rgb="FFFF0000"/>
        <rFont val="Century Gothic"/>
        <family val="1"/>
      </rPr>
      <t>0a86799</t>
    </r>
  </si>
  <si>
    <t>See Row 65, edited admin_driver</t>
  </si>
  <si>
    <r>
      <rPr>
        <sz val="10"/>
        <color rgb="FFFF0000"/>
        <rFont val="Century Gothic"/>
        <family val="1"/>
      </rPr>
      <t>0a86799</t>
    </r>
    <r>
      <rPr>
        <sz val="10"/>
        <color theme="1"/>
        <rFont val="Century Gothic"/>
        <family val="1"/>
      </rPr>
      <t>, a6118ad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</si>
</sst>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0"/>
      <name val="Century Gothic"/>
      <family val="1"/>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92">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5"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0" borderId="9" xfId="0" applyNumberFormat="1" applyFont="1" applyFill="1" applyBorder="1" applyAlignment="1">
      <alignment horizontal="left" vertical="center" wrapText="1" indent="1"/>
    </xf>
    <xf numFmtId="0" fontId="13" fillId="2" borderId="0" xfId="0" applyFont="1" applyFill="1" applyAlignment="1">
      <alignment vertical="center"/>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9" borderId="7" xfId="0" applyFont="1" applyFill="1" applyBorder="1" applyAlignment="1">
      <alignment horizontal="right" vertical="center" wrapText="1" indent="1"/>
    </xf>
    <xf numFmtId="0" fontId="11" fillId="9"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1" fontId="4" fillId="11" borderId="1" xfId="0" applyNumberFormat="1" applyFont="1" applyFill="1" applyBorder="1" applyAlignment="1">
      <alignment horizontal="right" vertical="center" wrapText="1" indent="1"/>
    </xf>
    <xf numFmtId="1" fontId="4" fillId="12"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7" borderId="4" xfId="0" applyFont="1" applyFill="1" applyBorder="1" applyAlignment="1">
      <alignment horizontal="left" vertical="center" wrapText="1" indent="1"/>
    </xf>
    <xf numFmtId="0" fontId="15" fillId="7" borderId="4" xfId="0" applyFont="1" applyFill="1" applyBorder="1" applyAlignment="1">
      <alignment horizontal="left" vertical="center" wrapText="1" indent="1" readingOrder="1"/>
    </xf>
    <xf numFmtId="164" fontId="16"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10" fillId="7"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6"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readingOrder="1"/>
    </xf>
    <xf numFmtId="164" fontId="14" fillId="6" borderId="4" xfId="0" applyNumberFormat="1" applyFont="1" applyFill="1" applyBorder="1" applyAlignment="1">
      <alignment horizontal="left" vertical="center" wrapText="1" indent="1"/>
    </xf>
    <xf numFmtId="164" fontId="14" fillId="6" borderId="4" xfId="0" applyNumberFormat="1" applyFont="1" applyFill="1" applyBorder="1" applyAlignment="1">
      <alignment horizontal="right" vertical="center" wrapText="1" indent="1" readingOrder="1"/>
    </xf>
    <xf numFmtId="164" fontId="14" fillId="6" borderId="4" xfId="0" applyNumberFormat="1" applyFont="1" applyFill="1" applyBorder="1" applyAlignment="1">
      <alignment horizontal="right" vertical="center" wrapText="1" indent="1"/>
    </xf>
    <xf numFmtId="0" fontId="6" fillId="6" borderId="4" xfId="0" applyFont="1" applyFill="1" applyBorder="1" applyAlignment="1">
      <alignment horizontal="left" vertical="center" wrapText="1" indent="1"/>
    </xf>
    <xf numFmtId="0" fontId="14" fillId="5" borderId="4" xfId="0" applyFont="1" applyFill="1" applyBorder="1" applyAlignment="1">
      <alignment horizontal="left" vertical="center" wrapText="1" indent="1"/>
    </xf>
    <xf numFmtId="0" fontId="14" fillId="5" borderId="0" xfId="0" applyFont="1" applyFill="1" applyAlignment="1">
      <alignment horizontal="left" vertical="center" indent="1"/>
    </xf>
    <xf numFmtId="164" fontId="14" fillId="5" borderId="4" xfId="0" applyNumberFormat="1" applyFont="1" applyFill="1" applyBorder="1" applyAlignment="1">
      <alignment horizontal="right" vertical="center" wrapText="1" indent="1"/>
    </xf>
    <xf numFmtId="164" fontId="14" fillId="5" borderId="8" xfId="0" applyNumberFormat="1" applyFont="1" applyFill="1" applyBorder="1" applyAlignment="1">
      <alignment horizontal="right" vertical="center" wrapText="1" indent="1"/>
    </xf>
    <xf numFmtId="1" fontId="14" fillId="5" borderId="4" xfId="0" applyNumberFormat="1" applyFont="1" applyFill="1" applyBorder="1" applyAlignment="1">
      <alignment horizontal="right" vertical="center" wrapText="1" indent="1"/>
    </xf>
    <xf numFmtId="0" fontId="14" fillId="8" borderId="4" xfId="0" applyFont="1" applyFill="1" applyBorder="1" applyAlignment="1">
      <alignment horizontal="left" vertical="center" wrapText="1" indent="1"/>
    </xf>
    <xf numFmtId="0" fontId="14" fillId="8" borderId="4" xfId="0" applyFont="1" applyFill="1" applyBorder="1" applyAlignment="1">
      <alignment horizontal="left" vertical="center" wrapText="1" indent="1" readingOrder="1"/>
    </xf>
    <xf numFmtId="164" fontId="14"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6" fillId="8" borderId="4" xfId="0" applyFont="1" applyFill="1" applyBorder="1" applyAlignment="1">
      <alignment horizontal="left" vertical="center" wrapText="1" indent="1"/>
    </xf>
    <xf numFmtId="0" fontId="14" fillId="13" borderId="4" xfId="0" applyFont="1" applyFill="1" applyBorder="1" applyAlignment="1">
      <alignment horizontal="right" vertical="center" wrapText="1" indent="1"/>
    </xf>
    <xf numFmtId="0" fontId="14" fillId="7" borderId="4" xfId="0" applyFont="1" applyFill="1" applyBorder="1" applyAlignment="1">
      <alignment horizontal="right" vertical="center" wrapText="1" indent="1"/>
    </xf>
    <xf numFmtId="1" fontId="14" fillId="6" borderId="1" xfId="0" applyNumberFormat="1" applyFont="1" applyFill="1" applyBorder="1" applyAlignment="1">
      <alignment horizontal="right" vertical="center" wrapText="1" indent="1"/>
    </xf>
    <xf numFmtId="1" fontId="4" fillId="14"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164" fontId="5" fillId="0" borderId="5" xfId="0" applyNumberFormat="1" applyFont="1" applyBorder="1" applyAlignment="1">
      <alignment horizontal="right" vertical="center" wrapText="1" indent="1" readingOrder="1"/>
    </xf>
    <xf numFmtId="164" fontId="5" fillId="0" borderId="4" xfId="0" applyNumberFormat="1" applyFont="1" applyBorder="1" applyAlignment="1">
      <alignment horizontal="right" vertical="center" wrapText="1" indent="1" readingOrder="1"/>
    </xf>
    <xf numFmtId="1" fontId="4" fillId="12" borderId="5" xfId="0" applyNumberFormat="1" applyFont="1" applyFill="1" applyBorder="1" applyAlignment="1">
      <alignment horizontal="right" vertical="center" wrapText="1" indent="1"/>
    </xf>
    <xf numFmtId="1" fontId="4" fillId="12" borderId="4" xfId="0" applyNumberFormat="1" applyFont="1" applyFill="1" applyBorder="1" applyAlignment="1">
      <alignment horizontal="right" vertical="center" wrapText="1" indent="1"/>
    </xf>
    <xf numFmtId="0" fontId="4" fillId="2" borderId="5" xfId="0" applyFont="1" applyFill="1" applyBorder="1" applyAlignment="1">
      <alignment horizontal="left" vertical="center" wrapText="1" indent="1"/>
    </xf>
    <xf numFmtId="0" fontId="4" fillId="2" borderId="4" xfId="0" applyFont="1" applyFill="1" applyBorder="1" applyAlignment="1">
      <alignment horizontal="left" vertical="center" wrapText="1" indent="1"/>
    </xf>
    <xf numFmtId="0" fontId="9" fillId="0" borderId="5" xfId="0" applyFont="1" applyBorder="1" applyAlignment="1">
      <alignment horizontal="left" vertical="center" wrapText="1" indent="2"/>
    </xf>
    <xf numFmtId="0" fontId="9" fillId="0" borderId="4" xfId="0" applyFont="1" applyBorder="1" applyAlignment="1">
      <alignment horizontal="left" vertical="center" wrapText="1" indent="2"/>
    </xf>
    <xf numFmtId="0" fontId="5" fillId="2" borderId="5" xfId="0" applyFont="1" applyFill="1" applyBorder="1" applyAlignment="1">
      <alignment horizontal="left" vertical="center" wrapText="1" indent="1" readingOrder="1"/>
    </xf>
    <xf numFmtId="0" fontId="5" fillId="2" borderId="4" xfId="0" applyFont="1" applyFill="1" applyBorder="1" applyAlignment="1">
      <alignment horizontal="left" vertical="center" wrapText="1" indent="1" readingOrder="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164" fontId="4" fillId="2" borderId="5" xfId="0" applyNumberFormat="1" applyFont="1" applyFill="1" applyBorder="1" applyAlignment="1">
      <alignment horizontal="left" vertical="center" wrapText="1" indent="1"/>
    </xf>
    <xf numFmtId="164" fontId="4" fillId="2" borderId="4" xfId="0" applyNumberFormat="1" applyFont="1" applyFill="1" applyBorder="1" applyAlignment="1">
      <alignment horizontal="left" vertical="center" wrapText="1" indent="1"/>
    </xf>
    <xf numFmtId="0" fontId="18" fillId="2" borderId="1" xfId="0" applyFont="1" applyFill="1" applyBorder="1" applyAlignment="1">
      <alignment horizontal="left" vertical="center" wrapText="1" indent="1"/>
    </xf>
    <xf numFmtId="0" fontId="18" fillId="0" borderId="1" xfId="0" applyFont="1" applyBorder="1" applyAlignment="1">
      <alignment horizontal="left" vertical="center" wrapText="1" indent="1"/>
    </xf>
    <xf numFmtId="164" fontId="17" fillId="2" borderId="1" xfId="0" applyNumberFormat="1" applyFont="1" applyFill="1" applyBorder="1" applyAlignment="1">
      <alignment horizontal="lef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4">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A2D072"/>
      <color rgb="FF007134"/>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Earthquakes!$F$7</c:f>
              <c:strCache>
                <c:ptCount val="1"/>
                <c:pt idx="0">
                  <c:v>Start Date</c:v>
                </c:pt>
              </c:strCache>
            </c:strRef>
          </c:tx>
          <c:spPr>
            <a:noFill/>
            <a:ln>
              <a:noFill/>
            </a:ln>
            <a:effectLst/>
          </c:spPr>
          <c:invertIfNegative val="0"/>
          <c:cat>
            <c:strRef>
              <c:f>Earthquakes!$C$8:$C$69</c:f>
              <c:strCache>
                <c:ptCount val="62"/>
                <c:pt idx="0">
                  <c:v>Chloe</c:v>
                </c:pt>
                <c:pt idx="12">
                  <c:v>Evaluate Dr. Edwards via Class Climate </c:v>
                </c:pt>
                <c:pt idx="13">
                  <c:v>Evaluate team using Brightspace survey</c:v>
                </c:pt>
                <c:pt idx="14">
                  <c:v>DeAnna</c:v>
                </c:pt>
                <c:pt idx="15">
                  <c:v>#10 Create Student class</c:v>
                </c:pt>
                <c:pt idx="16">
                  <c:v>#21 As an admin I want to be able to access student’s transcripts </c:v>
                </c:pt>
                <c:pt idx="17">
                  <c:v>#5 As a student I want to be able to see my previous schedules from other semesters</c:v>
                </c:pt>
                <c:pt idx="19">
                  <c:v>#50 As a dev I want to be able to display the CRNs in descending order</c:v>
                </c:pt>
                <c:pt idx="20">
                  <c:v>#34 As a designer I want the Admin menu to have Welcome message banner</c:v>
                </c:pt>
                <c:pt idx="21">
                  <c:v>#47 As a designer I want a label for  that introduces the student before printing the student information</c:v>
                </c:pt>
                <c:pt idx="22">
                  <c:v>#43 As a tester I want to test that the code runs following only the information given in the rule and requirements documentation</c:v>
                </c:pt>
                <c:pt idx="23">
                  <c:v>#38 As a designer I want the student major to be displayed with ascii art</c:v>
                </c:pt>
                <c:pt idx="24">
                  <c:v>#29 As a doc/writer I want a Attendance.csv</c:v>
                </c:pt>
                <c:pt idx="25">
                  <c:v>#22 As a tester I want to test the Course class</c:v>
                </c:pt>
                <c:pt idx="26">
                  <c:v>#23 As a tester I want to test the Student class</c:v>
                </c:pt>
                <c:pt idx="27">
                  <c:v>#20 As a dev I would like to be able to create a course to assign to a professor and/or students.</c:v>
                </c:pt>
                <c:pt idx="28">
                  <c:v>#40 As a designer I want the fiscal clearance label to be printed in all capital letters</c:v>
                </c:pt>
                <c:pt idx="29">
                  <c:v># 16 As a dev I want a University Database.csv</c:v>
                </c:pt>
                <c:pt idx="30">
                  <c:v>#14 As a dev I want a Course class</c:v>
                </c:pt>
                <c:pt idx="31">
                  <c:v>#18 As a dev I want to be able to have a menu for the admin</c:v>
                </c:pt>
                <c:pt idx="32">
                  <c:v>#24 Create unittests for Admin.py </c:v>
                </c:pt>
                <c:pt idx="34">
                  <c:v>Upload standup_meetings.txt</c:v>
                </c:pt>
                <c:pt idx="35">
                  <c:v>Update tester name in README.md </c:v>
                </c:pt>
                <c:pt idx="36">
                  <c:v>Evaluate Dr. Edwards via Class Climate </c:v>
                </c:pt>
                <c:pt idx="37">
                  <c:v>Evaluate team using Brightspace survey</c:v>
                </c:pt>
                <c:pt idx="38">
                  <c:v>Emilio</c:v>
                </c:pt>
                <c:pt idx="39">
                  <c:v>#62 Update README with 6 numbered, prioritized projects</c:v>
                </c:pt>
                <c:pt idx="40">
                  <c:v>#9 As the team lead I want to make sure everyone knows how to issue a pull request</c:v>
                </c:pt>
                <c:pt idx="41">
                  <c:v>#53 As a lead I want to have a meeting before the release #2 due date to make sure that at least half the tasks are finished</c:v>
                </c:pt>
                <c:pt idx="42">
                  <c:v>#48 As a Team lead i would like to make sure everyone is on track</c:v>
                </c:pt>
                <c:pt idx="43">
                  <c:v>#57 As the lead I want an SDD doc</c:v>
                </c:pt>
                <c:pt idx="44">
                  <c:v>Setting up file structure</c:v>
                </c:pt>
                <c:pt idx="45">
                  <c:v>#7 As a student I want to be able to register for my XULA account. Entering Name, email, Password, etc.</c:v>
                </c:pt>
                <c:pt idx="46">
                  <c:v>#30 As a doc/writer I want a updated README about our Release #2</c:v>
                </c:pt>
                <c:pt idx="47">
                  <c:v>#18 As a dev I want to be able to have a menu for the admin</c:v>
                </c:pt>
                <c:pt idx="48">
                  <c:v>#26 As an advisor I want to be able to change fiscal clearance</c:v>
                </c:pt>
                <c:pt idx="49">
                  <c:v>#35 As a doc/writer I want a updated README about our Release #1</c:v>
                </c:pt>
                <c:pt idx="50">
                  <c:v>Evaluate Dr. Edwards via Class Climate </c:v>
                </c:pt>
                <c:pt idx="51">
                  <c:v>Evaluate team using Brightspace survey</c:v>
                </c:pt>
                <c:pt idx="52">
                  <c:v>Taylor</c:v>
                </c:pt>
                <c:pt idx="53">
                  <c:v>#15 Create a Professor class</c:v>
                </c:pt>
                <c:pt idx="54">
                  <c:v>Partial #20 As a developer I would like to be able to create a course to assign to a professor.</c:v>
                </c:pt>
                <c:pt idx="55">
                  <c:v>#25 As a tester, I want to test the Professor class.</c:v>
                </c:pt>
                <c:pt idx="56">
                  <c:v>#27 Test create_schedule function.</c:v>
                </c:pt>
                <c:pt idx="57">
                  <c:v>#37 As an swe, I want to create a new schedule with at most 19 credits.</c:v>
                </c:pt>
                <c:pt idx="58">
                  <c:v>#42 As a developer, I want to be able to edit the new schedule being given to students.</c:v>
                </c:pt>
                <c:pt idx="59">
                  <c:v>Partial #48 As a dev I want to be able to have a menu for the admin.</c:v>
                </c:pt>
                <c:pt idx="60">
                  <c:v>Evaluate Dr. Edwards via Class Climate </c:v>
                </c:pt>
                <c:pt idx="61">
                  <c:v>Evaluate team using Brightspace survey</c:v>
                </c:pt>
              </c:strCache>
            </c:strRef>
          </c:cat>
          <c:val>
            <c:numRef>
              <c:f>Earthquakes!$F$8:$F$69</c:f>
              <c:numCache>
                <c:formatCode>m/d;@</c:formatCode>
                <c:ptCount val="62"/>
                <c:pt idx="0">
                  <c:v>45983</c:v>
                </c:pt>
                <c:pt idx="12">
                  <c:v>45983</c:v>
                </c:pt>
                <c:pt idx="13">
                  <c:v>45992</c:v>
                </c:pt>
                <c:pt idx="14">
                  <c:v>45976</c:v>
                </c:pt>
                <c:pt idx="15">
                  <c:v>45976</c:v>
                </c:pt>
                <c:pt idx="16">
                  <c:v>45990</c:v>
                </c:pt>
                <c:pt idx="17">
                  <c:v>45990</c:v>
                </c:pt>
                <c:pt idx="19">
                  <c:v>45984</c:v>
                </c:pt>
                <c:pt idx="20">
                  <c:v>45984</c:v>
                </c:pt>
                <c:pt idx="21">
                  <c:v>45984</c:v>
                </c:pt>
                <c:pt idx="22">
                  <c:v>45986</c:v>
                </c:pt>
                <c:pt idx="23">
                  <c:v>45984</c:v>
                </c:pt>
                <c:pt idx="24">
                  <c:v>45984</c:v>
                </c:pt>
                <c:pt idx="25">
                  <c:v>45986</c:v>
                </c:pt>
                <c:pt idx="26">
                  <c:v>45986</c:v>
                </c:pt>
                <c:pt idx="27">
                  <c:v>45986</c:v>
                </c:pt>
                <c:pt idx="28">
                  <c:v>45986</c:v>
                </c:pt>
                <c:pt idx="29">
                  <c:v>45976</c:v>
                </c:pt>
                <c:pt idx="30">
                  <c:v>45978</c:v>
                </c:pt>
                <c:pt idx="31">
                  <c:v>45978</c:v>
                </c:pt>
                <c:pt idx="32">
                  <c:v>45990</c:v>
                </c:pt>
                <c:pt idx="34">
                  <c:v>45981</c:v>
                </c:pt>
                <c:pt idx="35">
                  <c:v>45976</c:v>
                </c:pt>
                <c:pt idx="36">
                  <c:v>45983</c:v>
                </c:pt>
                <c:pt idx="37">
                  <c:v>45992</c:v>
                </c:pt>
                <c:pt idx="38">
                  <c:v>45973</c:v>
                </c:pt>
                <c:pt idx="39">
                  <c:v>45973</c:v>
                </c:pt>
                <c:pt idx="40">
                  <c:v>45975</c:v>
                </c:pt>
                <c:pt idx="41">
                  <c:v>45984</c:v>
                </c:pt>
                <c:pt idx="42">
                  <c:v>45973</c:v>
                </c:pt>
                <c:pt idx="43">
                  <c:v>45992</c:v>
                </c:pt>
                <c:pt idx="44">
                  <c:v>45976</c:v>
                </c:pt>
                <c:pt idx="45">
                  <c:v>45975</c:v>
                </c:pt>
                <c:pt idx="46">
                  <c:v>45986</c:v>
                </c:pt>
                <c:pt idx="47">
                  <c:v>45978</c:v>
                </c:pt>
                <c:pt idx="48">
                  <c:v>45982</c:v>
                </c:pt>
                <c:pt idx="49">
                  <c:v>45982</c:v>
                </c:pt>
                <c:pt idx="50">
                  <c:v>45983</c:v>
                </c:pt>
                <c:pt idx="51">
                  <c:v>45992</c:v>
                </c:pt>
                <c:pt idx="52">
                  <c:v>45983</c:v>
                </c:pt>
                <c:pt idx="53">
                  <c:v>45984</c:v>
                </c:pt>
                <c:pt idx="54">
                  <c:v>45992</c:v>
                </c:pt>
                <c:pt idx="55">
                  <c:v>45984</c:v>
                </c:pt>
                <c:pt idx="56">
                  <c:v>45986</c:v>
                </c:pt>
                <c:pt idx="57">
                  <c:v>45984</c:v>
                </c:pt>
                <c:pt idx="58">
                  <c:v>45985</c:v>
                </c:pt>
                <c:pt idx="59">
                  <c:v>45985</c:v>
                </c:pt>
                <c:pt idx="60">
                  <c:v>45983</c:v>
                </c:pt>
                <c:pt idx="61">
                  <c:v>45992</c:v>
                </c:pt>
              </c:numCache>
            </c:numRef>
          </c:val>
          <c:extLst>
            <c:ext xmlns:c16="http://schemas.microsoft.com/office/drawing/2014/chart" uri="{C3380CC4-5D6E-409C-BE32-E72D297353CC}">
              <c16:uniqueId val="{00000000-8C3B-6B4E-8271-047982C56358}"/>
            </c:ext>
          </c:extLst>
        </c:ser>
        <c:ser>
          <c:idx val="1"/>
          <c:order val="1"/>
          <c:tx>
            <c:strRef>
              <c:f>Earthquakes!$H$7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rgbClr val="A2D072">
                  <a:alpha val="79000"/>
                </a:srgb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rgbClr val="A2D072">
                  <a:alpha val="79000"/>
                </a:srgb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rgbClr val="A2D072">
                  <a:alpha val="79000"/>
                </a:srgb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rgbClr val="A2D072">
                  <a:alpha val="79000"/>
                </a:srgb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rgbClr val="A2D072">
                  <a:alpha val="79000"/>
                </a:srgb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A2D072">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A2D072">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A2D072">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A2D072">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rgbClr val="FFC000">
                  <a:alpha val="79000"/>
                </a:srgb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rgbClr val="FFC000">
                  <a:alpha val="79000"/>
                </a:srgb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rgbClr val="FFC000">
                  <a:alpha val="79000"/>
                </a:srgb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rgbClr val="FFC000">
                  <a:alpha val="79000"/>
                </a:srgb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rgbClr val="FFC000">
                  <a:alpha val="79000"/>
                </a:srgb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rgbClr val="FFC000">
                  <a:alpha val="79000"/>
                </a:srgb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rgbClr val="FFC000">
                  <a:alpha val="79000"/>
                </a:srgb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rgbClr val="FFC000">
                  <a:alpha val="79000"/>
                </a:srgb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rgbClr val="FFC000">
                  <a:alpha val="79000"/>
                </a:srgb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rgbClr val="FFC000">
                  <a:alpha val="79000"/>
                </a:srgb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tx1">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dPt>
            <c:idx val="5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70-4DAB-CF47-822E-55EC23358D5C}"/>
              </c:ext>
            </c:extLst>
          </c:dPt>
          <c:dPt>
            <c:idx val="5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72-4DAB-CF47-822E-55EC23358D5C}"/>
              </c:ext>
            </c:extLst>
          </c:dPt>
          <c:dPt>
            <c:idx val="5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71-4DAB-CF47-822E-55EC23358D5C}"/>
              </c:ext>
            </c:extLst>
          </c:dPt>
          <c:dPt>
            <c:idx val="6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73-4DAB-CF47-822E-55EC23358D5C}"/>
              </c:ext>
            </c:extLst>
          </c:dPt>
          <c:dPt>
            <c:idx val="6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74-4DAB-CF47-822E-55EC23358D5C}"/>
              </c:ext>
            </c:extLst>
          </c:dPt>
          <c:cat>
            <c:strRef>
              <c:f>Earthquakes!$C$8:$C$69</c:f>
              <c:strCache>
                <c:ptCount val="62"/>
                <c:pt idx="0">
                  <c:v>Chloe</c:v>
                </c:pt>
                <c:pt idx="12">
                  <c:v>Evaluate Dr. Edwards via Class Climate </c:v>
                </c:pt>
                <c:pt idx="13">
                  <c:v>Evaluate team using Brightspace survey</c:v>
                </c:pt>
                <c:pt idx="14">
                  <c:v>DeAnna</c:v>
                </c:pt>
                <c:pt idx="15">
                  <c:v>#10 Create Student class</c:v>
                </c:pt>
                <c:pt idx="16">
                  <c:v>#21 As an admin I want to be able to access student’s transcripts </c:v>
                </c:pt>
                <c:pt idx="17">
                  <c:v>#5 As a student I want to be able to see my previous schedules from other semesters</c:v>
                </c:pt>
                <c:pt idx="19">
                  <c:v>#50 As a dev I want to be able to display the CRNs in descending order</c:v>
                </c:pt>
                <c:pt idx="20">
                  <c:v>#34 As a designer I want the Admin menu to have Welcome message banner</c:v>
                </c:pt>
                <c:pt idx="21">
                  <c:v>#47 As a designer I want a label for  that introduces the student before printing the student information</c:v>
                </c:pt>
                <c:pt idx="22">
                  <c:v>#43 As a tester I want to test that the code runs following only the information given in the rule and requirements documentation</c:v>
                </c:pt>
                <c:pt idx="23">
                  <c:v>#38 As a designer I want the student major to be displayed with ascii art</c:v>
                </c:pt>
                <c:pt idx="24">
                  <c:v>#29 As a doc/writer I want a Attendance.csv</c:v>
                </c:pt>
                <c:pt idx="25">
                  <c:v>#22 As a tester I want to test the Course class</c:v>
                </c:pt>
                <c:pt idx="26">
                  <c:v>#23 As a tester I want to test the Student class</c:v>
                </c:pt>
                <c:pt idx="27">
                  <c:v>#20 As a dev I would like to be able to create a course to assign to a professor and/or students.</c:v>
                </c:pt>
                <c:pt idx="28">
                  <c:v>#40 As a designer I want the fiscal clearance label to be printed in all capital letters</c:v>
                </c:pt>
                <c:pt idx="29">
                  <c:v># 16 As a dev I want a University Database.csv</c:v>
                </c:pt>
                <c:pt idx="30">
                  <c:v>#14 As a dev I want a Course class</c:v>
                </c:pt>
                <c:pt idx="31">
                  <c:v>#18 As a dev I want to be able to have a menu for the admin</c:v>
                </c:pt>
                <c:pt idx="32">
                  <c:v>#24 Create unittests for Admin.py </c:v>
                </c:pt>
                <c:pt idx="34">
                  <c:v>Upload standup_meetings.txt</c:v>
                </c:pt>
                <c:pt idx="35">
                  <c:v>Update tester name in README.md </c:v>
                </c:pt>
                <c:pt idx="36">
                  <c:v>Evaluate Dr. Edwards via Class Climate </c:v>
                </c:pt>
                <c:pt idx="37">
                  <c:v>Evaluate team using Brightspace survey</c:v>
                </c:pt>
                <c:pt idx="38">
                  <c:v>Emilio</c:v>
                </c:pt>
                <c:pt idx="39">
                  <c:v>#62 Update README with 6 numbered, prioritized projects</c:v>
                </c:pt>
                <c:pt idx="40">
                  <c:v>#9 As the team lead I want to make sure everyone knows how to issue a pull request</c:v>
                </c:pt>
                <c:pt idx="41">
                  <c:v>#53 As a lead I want to have a meeting before the release #2 due date to make sure that at least half the tasks are finished</c:v>
                </c:pt>
                <c:pt idx="42">
                  <c:v>#48 As a Team lead i would like to make sure everyone is on track</c:v>
                </c:pt>
                <c:pt idx="43">
                  <c:v>#57 As the lead I want an SDD doc</c:v>
                </c:pt>
                <c:pt idx="44">
                  <c:v>Setting up file structure</c:v>
                </c:pt>
                <c:pt idx="45">
                  <c:v>#7 As a student I want to be able to register for my XULA account. Entering Name, email, Password, etc.</c:v>
                </c:pt>
                <c:pt idx="46">
                  <c:v>#30 As a doc/writer I want a updated README about our Release #2</c:v>
                </c:pt>
                <c:pt idx="47">
                  <c:v>#18 As a dev I want to be able to have a menu for the admin</c:v>
                </c:pt>
                <c:pt idx="48">
                  <c:v>#26 As an advisor I want to be able to change fiscal clearance</c:v>
                </c:pt>
                <c:pt idx="49">
                  <c:v>#35 As a doc/writer I want a updated README about our Release #1</c:v>
                </c:pt>
                <c:pt idx="50">
                  <c:v>Evaluate Dr. Edwards via Class Climate </c:v>
                </c:pt>
                <c:pt idx="51">
                  <c:v>Evaluate team using Brightspace survey</c:v>
                </c:pt>
                <c:pt idx="52">
                  <c:v>Taylor</c:v>
                </c:pt>
                <c:pt idx="53">
                  <c:v>#15 Create a Professor class</c:v>
                </c:pt>
                <c:pt idx="54">
                  <c:v>Partial #20 As a developer I would like to be able to create a course to assign to a professor.</c:v>
                </c:pt>
                <c:pt idx="55">
                  <c:v>#25 As a tester, I want to test the Professor class.</c:v>
                </c:pt>
                <c:pt idx="56">
                  <c:v>#27 Test create_schedule function.</c:v>
                </c:pt>
                <c:pt idx="57">
                  <c:v>#37 As an swe, I want to create a new schedule with at most 19 credits.</c:v>
                </c:pt>
                <c:pt idx="58">
                  <c:v>#42 As a developer, I want to be able to edit the new schedule being given to students.</c:v>
                </c:pt>
                <c:pt idx="59">
                  <c:v>Partial #48 As a dev I want to be able to have a menu for the admin.</c:v>
                </c:pt>
                <c:pt idx="60">
                  <c:v>Evaluate Dr. Edwards via Class Climate </c:v>
                </c:pt>
                <c:pt idx="61">
                  <c:v>Evaluate team using Brightspace survey</c:v>
                </c:pt>
              </c:strCache>
            </c:strRef>
          </c:cat>
          <c:val>
            <c:numRef>
              <c:f>Earthquakes!$H$8:$H$69</c:f>
              <c:numCache>
                <c:formatCode>0</c:formatCode>
                <c:ptCount val="62"/>
                <c:pt idx="0">
                  <c:v>17</c:v>
                </c:pt>
                <c:pt idx="12">
                  <c:v>17</c:v>
                </c:pt>
                <c:pt idx="13">
                  <c:v>1</c:v>
                </c:pt>
                <c:pt idx="14">
                  <c:v>24</c:v>
                </c:pt>
                <c:pt idx="15">
                  <c:v>1</c:v>
                </c:pt>
                <c:pt idx="16">
                  <c:v>1</c:v>
                </c:pt>
                <c:pt idx="17">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4">
                  <c:v>1</c:v>
                </c:pt>
                <c:pt idx="35">
                  <c:v>1</c:v>
                </c:pt>
                <c:pt idx="36">
                  <c:v>17</c:v>
                </c:pt>
                <c:pt idx="37">
                  <c:v>1</c:v>
                </c:pt>
                <c:pt idx="38" formatCode="General">
                  <c:v>27</c:v>
                </c:pt>
                <c:pt idx="39">
                  <c:v>3</c:v>
                </c:pt>
                <c:pt idx="40">
                  <c:v>1</c:v>
                </c:pt>
                <c:pt idx="41">
                  <c:v>1</c:v>
                </c:pt>
                <c:pt idx="42">
                  <c:v>19</c:v>
                </c:pt>
                <c:pt idx="43">
                  <c:v>1</c:v>
                </c:pt>
                <c:pt idx="44">
                  <c:v>1</c:v>
                </c:pt>
                <c:pt idx="45">
                  <c:v>2</c:v>
                </c:pt>
                <c:pt idx="46">
                  <c:v>1</c:v>
                </c:pt>
                <c:pt idx="47">
                  <c:v>1</c:v>
                </c:pt>
                <c:pt idx="48">
                  <c:v>1</c:v>
                </c:pt>
                <c:pt idx="49">
                  <c:v>1</c:v>
                </c:pt>
                <c:pt idx="50">
                  <c:v>17</c:v>
                </c:pt>
                <c:pt idx="51">
                  <c:v>1</c:v>
                </c:pt>
                <c:pt idx="52" formatCode="General">
                  <c:v>17</c:v>
                </c:pt>
                <c:pt idx="53">
                  <c:v>1</c:v>
                </c:pt>
                <c:pt idx="54">
                  <c:v>1</c:v>
                </c:pt>
                <c:pt idx="55">
                  <c:v>9</c:v>
                </c:pt>
                <c:pt idx="56">
                  <c:v>-9</c:v>
                </c:pt>
                <c:pt idx="57">
                  <c:v>2</c:v>
                </c:pt>
                <c:pt idx="58">
                  <c:v>1</c:v>
                </c:pt>
                <c:pt idx="59">
                  <c:v>8</c:v>
                </c:pt>
                <c:pt idx="60">
                  <c:v>17</c:v>
                </c:pt>
                <c:pt idx="61">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69</xdr:row>
      <xdr:rowOff>114300</xdr:rowOff>
    </xdr:from>
    <xdr:to>
      <xdr:col>8</xdr:col>
      <xdr:colOff>3860800</xdr:colOff>
      <xdr:row>71</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66261</xdr:colOff>
      <xdr:row>46</xdr:row>
      <xdr:rowOff>1</xdr:rowOff>
    </xdr:from>
    <xdr:to>
      <xdr:col>15</xdr:col>
      <xdr:colOff>44174</xdr:colOff>
      <xdr:row>52</xdr:row>
      <xdr:rowOff>156266</xdr:rowOff>
    </xdr:to>
    <xdr:pic>
      <xdr:nvPicPr>
        <xdr:cNvPr id="3" name="Picture 2">
          <a:extLst>
            <a:ext uri="{FF2B5EF4-FFF2-40B4-BE49-F238E27FC236}">
              <a16:creationId xmlns:a16="http://schemas.microsoft.com/office/drawing/2014/main" id="{5EC5968C-6FFD-B59B-C0AC-23DF59A733FA}"/>
            </a:ext>
          </a:extLst>
        </xdr:cNvPr>
        <xdr:cNvPicPr>
          <a:picLocks noChangeAspect="1"/>
        </xdr:cNvPicPr>
      </xdr:nvPicPr>
      <xdr:blipFill>
        <a:blip xmlns:r="http://schemas.openxmlformats.org/officeDocument/2006/relationships" r:embed="rId2"/>
        <a:stretch>
          <a:fillRect/>
        </a:stretch>
      </xdr:blipFill>
      <xdr:spPr>
        <a:xfrm>
          <a:off x="15471913" y="14963914"/>
          <a:ext cx="4572000" cy="2298700"/>
        </a:xfrm>
        <a:prstGeom prst="rect">
          <a:avLst/>
        </a:prstGeom>
      </xdr:spPr>
    </xdr:pic>
    <xdr:clientData/>
  </xdr:twoCellAnchor>
  <xdr:twoCellAnchor editAs="oneCell">
    <xdr:from>
      <xdr:col>9</xdr:col>
      <xdr:colOff>176698</xdr:colOff>
      <xdr:row>60</xdr:row>
      <xdr:rowOff>22089</xdr:rowOff>
    </xdr:from>
    <xdr:to>
      <xdr:col>15</xdr:col>
      <xdr:colOff>116511</xdr:colOff>
      <xdr:row>64</xdr:row>
      <xdr:rowOff>336276</xdr:rowOff>
    </xdr:to>
    <xdr:pic>
      <xdr:nvPicPr>
        <xdr:cNvPr id="4" name="Picture 3">
          <a:extLst>
            <a:ext uri="{FF2B5EF4-FFF2-40B4-BE49-F238E27FC236}">
              <a16:creationId xmlns:a16="http://schemas.microsoft.com/office/drawing/2014/main" id="{B7E7DDD8-142C-7BA7-FCBE-345E551B5B0D}"/>
            </a:ext>
          </a:extLst>
        </xdr:cNvPr>
        <xdr:cNvPicPr>
          <a:picLocks noChangeAspect="1"/>
        </xdr:cNvPicPr>
      </xdr:nvPicPr>
      <xdr:blipFill>
        <a:blip xmlns:r="http://schemas.openxmlformats.org/officeDocument/2006/relationships" r:embed="rId3"/>
        <a:stretch>
          <a:fillRect/>
        </a:stretch>
      </xdr:blipFill>
      <xdr:spPr>
        <a:xfrm>
          <a:off x="15582350" y="19348176"/>
          <a:ext cx="4533900" cy="2324100"/>
        </a:xfrm>
        <a:prstGeom prst="rect">
          <a:avLst/>
        </a:prstGeom>
      </xdr:spPr>
    </xdr:pic>
    <xdr:clientData/>
  </xdr:twoCellAnchor>
  <xdr:twoCellAnchor editAs="oneCell">
    <xdr:from>
      <xdr:col>10</xdr:col>
      <xdr:colOff>33131</xdr:colOff>
      <xdr:row>22</xdr:row>
      <xdr:rowOff>11044</xdr:rowOff>
    </xdr:from>
    <xdr:to>
      <xdr:col>15</xdr:col>
      <xdr:colOff>239644</xdr:colOff>
      <xdr:row>29</xdr:row>
      <xdr:rowOff>200440</xdr:rowOff>
    </xdr:to>
    <xdr:pic>
      <xdr:nvPicPr>
        <xdr:cNvPr id="5" name="Picture 4">
          <a:extLst>
            <a:ext uri="{FF2B5EF4-FFF2-40B4-BE49-F238E27FC236}">
              <a16:creationId xmlns:a16="http://schemas.microsoft.com/office/drawing/2014/main" id="{FC0C2652-C36A-DFD0-461C-380E1808CAFE}"/>
            </a:ext>
          </a:extLst>
        </xdr:cNvPr>
        <xdr:cNvPicPr>
          <a:picLocks noChangeAspect="1"/>
        </xdr:cNvPicPr>
      </xdr:nvPicPr>
      <xdr:blipFill>
        <a:blip xmlns:r="http://schemas.openxmlformats.org/officeDocument/2006/relationships" r:embed="rId4"/>
        <a:stretch>
          <a:fillRect/>
        </a:stretch>
      </xdr:blipFill>
      <xdr:spPr>
        <a:xfrm>
          <a:off x="15692783" y="7421218"/>
          <a:ext cx="4546600" cy="2298700"/>
        </a:xfrm>
        <a:prstGeom prst="rect">
          <a:avLst/>
        </a:prstGeom>
      </xdr:spPr>
    </xdr:pic>
    <xdr:clientData/>
  </xdr:twoCellAnchor>
  <xdr:twoCellAnchor editAs="oneCell">
    <xdr:from>
      <xdr:col>9</xdr:col>
      <xdr:colOff>231912</xdr:colOff>
      <xdr:row>10</xdr:row>
      <xdr:rowOff>11044</xdr:rowOff>
    </xdr:from>
    <xdr:to>
      <xdr:col>19</xdr:col>
      <xdr:colOff>144116</xdr:colOff>
      <xdr:row>16</xdr:row>
      <xdr:rowOff>45278</xdr:rowOff>
    </xdr:to>
    <xdr:pic>
      <xdr:nvPicPr>
        <xdr:cNvPr id="6" name="Picture 5">
          <a:extLst>
            <a:ext uri="{FF2B5EF4-FFF2-40B4-BE49-F238E27FC236}">
              <a16:creationId xmlns:a16="http://schemas.microsoft.com/office/drawing/2014/main" id="{7169FE08-C288-19A4-C419-45839B2FC366}"/>
            </a:ext>
          </a:extLst>
        </xdr:cNvPr>
        <xdr:cNvPicPr>
          <a:picLocks noChangeAspect="1"/>
        </xdr:cNvPicPr>
      </xdr:nvPicPr>
      <xdr:blipFill>
        <a:blip xmlns:r="http://schemas.openxmlformats.org/officeDocument/2006/relationships" r:embed="rId5"/>
        <a:stretch>
          <a:fillRect/>
        </a:stretch>
      </xdr:blipFill>
      <xdr:spPr>
        <a:xfrm>
          <a:off x="15637564" y="3578087"/>
          <a:ext cx="7708900" cy="1955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15"/>
  <sheetViews>
    <sheetView showGridLines="0" tabSelected="1" zoomScale="115" zoomScaleNormal="115" workbookViewId="0">
      <pane ySplit="1" topLeftCell="A34" activePane="bottomLeft" state="frozen"/>
      <selection pane="bottomLeft" activeCell="E67" sqref="E67"/>
    </sheetView>
  </sheetViews>
  <sheetFormatPr baseColWidth="10" defaultColWidth="11" defaultRowHeight="13" outlineLevelRow="1" x14ac:dyDescent="0.15"/>
  <cols>
    <col min="1" max="1" width="3.33203125" style="7" customWidth="1"/>
    <col min="2" max="2" width="30.83203125" style="7" customWidth="1"/>
    <col min="3" max="3" width="57" style="7" bestFit="1" customWidth="1"/>
    <col min="4" max="4" width="12.83203125" style="7" customWidth="1"/>
    <col min="5" max="5" width="22.33203125" style="7" bestFit="1" customWidth="1"/>
    <col min="6" max="6" width="12.6640625" style="37" customWidth="1"/>
    <col min="7" max="7" width="11.83203125" style="37"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21</v>
      </c>
      <c r="D1"/>
      <c r="E1"/>
      <c r="F1" s="32"/>
      <c r="G1" s="32"/>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4</v>
      </c>
      <c r="D2" s="18"/>
      <c r="E2" s="18" t="s">
        <v>6</v>
      </c>
      <c r="F2" s="33"/>
      <c r="G2" s="33"/>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15</v>
      </c>
      <c r="D3" s="1"/>
      <c r="E3" s="27">
        <v>45970</v>
      </c>
      <c r="F3" s="34"/>
      <c r="G3" s="34"/>
      <c r="H3" s="1" t="s">
        <v>7</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27</v>
      </c>
      <c r="D4" s="18"/>
      <c r="E4" s="22" t="s">
        <v>5</v>
      </c>
      <c r="F4" s="33"/>
      <c r="G4" s="33"/>
      <c r="H4" s="18" t="s">
        <v>3</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16</v>
      </c>
      <c r="D5" s="1"/>
      <c r="E5" s="27">
        <v>45992</v>
      </c>
      <c r="F5" s="34"/>
      <c r="G5" s="34"/>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4"/>
      <c r="G6" s="34"/>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
      <c r="A7" s="10"/>
      <c r="B7" s="24"/>
      <c r="C7" s="24" t="s">
        <v>11</v>
      </c>
      <c r="D7" s="24" t="s">
        <v>9</v>
      </c>
      <c r="E7" s="24" t="s">
        <v>12</v>
      </c>
      <c r="F7" s="35" t="s">
        <v>6</v>
      </c>
      <c r="G7" s="36" t="s">
        <v>5</v>
      </c>
      <c r="H7" s="30" t="s">
        <v>10</v>
      </c>
      <c r="I7" s="24" t="s">
        <v>8</v>
      </c>
      <c r="J7" s="10"/>
      <c r="K7" s="1"/>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2" customFormat="1" ht="25" customHeight="1" x14ac:dyDescent="0.15">
      <c r="A8" s="44"/>
      <c r="B8" s="59"/>
      <c r="C8" s="60" t="s">
        <v>17</v>
      </c>
      <c r="D8" s="25"/>
      <c r="E8" s="25"/>
      <c r="F8" s="61">
        <f>MIN(F9:F21)</f>
        <v>45983</v>
      </c>
      <c r="G8" s="62">
        <f>MAX(G9:G21)</f>
        <v>45999</v>
      </c>
      <c r="H8" s="63">
        <f>IF(F8=0,0,G8-F8)+1</f>
        <v>17</v>
      </c>
      <c r="I8" s="25"/>
      <c r="J8" s="44"/>
      <c r="K8" s="1"/>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c r="CY8" s="44"/>
      <c r="CZ8" s="44"/>
      <c r="DA8" s="44"/>
      <c r="DB8" s="44"/>
      <c r="DC8" s="44"/>
      <c r="DD8" s="44"/>
      <c r="DE8" s="44"/>
      <c r="DF8" s="44"/>
      <c r="DG8" s="44"/>
      <c r="DH8" s="44"/>
      <c r="DI8" s="44"/>
      <c r="DJ8" s="44"/>
      <c r="DK8" s="44"/>
      <c r="DL8" s="44"/>
      <c r="DM8" s="44"/>
      <c r="DN8" s="44"/>
      <c r="DO8" s="44"/>
      <c r="DP8" s="44"/>
      <c r="DQ8" s="44"/>
      <c r="DR8" s="44"/>
      <c r="DS8" s="44"/>
      <c r="DT8" s="44"/>
      <c r="DU8" s="44"/>
      <c r="DV8" s="44"/>
      <c r="DW8" s="44"/>
      <c r="DX8" s="44"/>
      <c r="DY8" s="44"/>
      <c r="DZ8" s="44"/>
      <c r="EA8" s="44"/>
      <c r="EB8" s="44"/>
      <c r="EC8" s="44"/>
      <c r="ED8" s="44"/>
      <c r="EE8" s="44"/>
      <c r="EF8" s="44"/>
      <c r="EG8" s="44"/>
      <c r="EH8" s="44"/>
      <c r="EI8" s="44"/>
      <c r="EJ8" s="44"/>
      <c r="EK8" s="44"/>
      <c r="EL8" s="44"/>
      <c r="EM8" s="44"/>
      <c r="EN8" s="44"/>
      <c r="EO8" s="44"/>
      <c r="EP8" s="44"/>
      <c r="EQ8" s="44"/>
      <c r="ER8" s="44"/>
      <c r="ES8" s="44"/>
      <c r="ET8" s="44"/>
      <c r="EU8" s="44"/>
      <c r="EV8" s="44"/>
      <c r="EW8" s="44"/>
      <c r="EX8" s="44"/>
      <c r="EY8" s="44"/>
      <c r="EZ8" s="44"/>
      <c r="FA8" s="44"/>
      <c r="FB8" s="44"/>
      <c r="FC8" s="44"/>
      <c r="FD8" s="44"/>
      <c r="FE8" s="44"/>
      <c r="FF8" s="44"/>
      <c r="FG8" s="44"/>
      <c r="FH8" s="44"/>
      <c r="FI8" s="44"/>
      <c r="FJ8" s="44"/>
      <c r="FK8" s="44"/>
      <c r="FL8" s="44"/>
      <c r="FM8" s="44"/>
      <c r="FN8" s="44"/>
      <c r="FO8" s="44"/>
      <c r="FP8" s="44"/>
      <c r="FQ8" s="44"/>
      <c r="FR8" s="44"/>
      <c r="FS8" s="44"/>
      <c r="FT8" s="44"/>
      <c r="FU8" s="44"/>
      <c r="FV8" s="44"/>
      <c r="FW8" s="44"/>
      <c r="FX8" s="44"/>
      <c r="FY8" s="44"/>
      <c r="FZ8" s="44"/>
      <c r="GA8" s="44"/>
      <c r="GB8" s="44"/>
      <c r="GC8" s="44"/>
      <c r="GD8" s="44"/>
      <c r="GE8" s="44"/>
      <c r="GF8" s="44"/>
      <c r="GG8" s="44"/>
      <c r="GH8" s="44"/>
      <c r="GI8" s="44"/>
      <c r="GJ8" s="44"/>
      <c r="GK8" s="44"/>
      <c r="GL8" s="44"/>
      <c r="GM8" s="44"/>
      <c r="GN8" s="44"/>
      <c r="GO8" s="44"/>
      <c r="GP8" s="44"/>
      <c r="GQ8" s="44"/>
      <c r="GR8" s="44"/>
      <c r="GS8" s="44"/>
      <c r="GT8" s="44"/>
      <c r="GU8" s="44"/>
      <c r="GV8" s="44"/>
      <c r="GW8" s="44"/>
      <c r="GX8" s="44"/>
      <c r="GY8" s="44"/>
      <c r="GZ8" s="44"/>
      <c r="HA8" s="44"/>
      <c r="HB8" s="44"/>
      <c r="HC8" s="44"/>
      <c r="HD8" s="44"/>
      <c r="HE8" s="44"/>
      <c r="HF8" s="44"/>
      <c r="HG8" s="44"/>
      <c r="HH8" s="44"/>
      <c r="HI8" s="44"/>
      <c r="HJ8" s="44"/>
      <c r="HK8" s="44"/>
      <c r="HL8" s="44"/>
      <c r="HM8" s="44"/>
      <c r="HN8" s="44"/>
      <c r="HO8" s="44"/>
      <c r="HP8" s="44"/>
      <c r="HQ8" s="44"/>
      <c r="HR8" s="44"/>
      <c r="HS8" s="44"/>
      <c r="HT8" s="44"/>
      <c r="HU8" s="44"/>
      <c r="HV8" s="44"/>
      <c r="HW8" s="44"/>
      <c r="HX8" s="44"/>
      <c r="HY8" s="44"/>
      <c r="HZ8" s="44"/>
      <c r="IA8" s="44"/>
      <c r="IB8" s="44"/>
      <c r="IC8" s="44"/>
      <c r="ID8" s="44"/>
      <c r="IE8" s="44"/>
      <c r="IF8" s="44"/>
      <c r="IG8" s="44"/>
      <c r="IH8" s="44"/>
      <c r="II8" s="44"/>
      <c r="IJ8" s="44"/>
      <c r="IK8" s="44"/>
      <c r="IL8" s="44"/>
      <c r="IM8" s="44"/>
      <c r="IN8" s="44"/>
      <c r="IO8" s="44"/>
      <c r="IP8" s="44"/>
      <c r="IQ8" s="44"/>
      <c r="IR8" s="44"/>
      <c r="IS8" s="44"/>
      <c r="IT8" s="44"/>
      <c r="IU8" s="44"/>
      <c r="IV8" s="44"/>
      <c r="IW8" s="44"/>
      <c r="IX8" s="44"/>
    </row>
    <row r="9" spans="1:258" s="9" customFormat="1" ht="28" outlineLevel="1" x14ac:dyDescent="0.15">
      <c r="A9" s="8"/>
      <c r="B9" s="2"/>
      <c r="C9" s="14"/>
      <c r="D9" s="3"/>
      <c r="E9" s="4"/>
      <c r="F9" s="38"/>
      <c r="G9" s="38"/>
      <c r="H9" s="42"/>
      <c r="I9" s="74" t="s">
        <v>26</v>
      </c>
      <c r="J9" s="8"/>
      <c r="K9" s="1"/>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15">
      <c r="A10" s="8"/>
      <c r="B10" s="2"/>
      <c r="C10" s="14"/>
      <c r="D10" s="3"/>
      <c r="E10" s="4"/>
      <c r="F10" s="38"/>
      <c r="G10" s="38"/>
      <c r="H10" s="42"/>
      <c r="I10" s="2"/>
      <c r="J10" s="8"/>
      <c r="K10" s="1"/>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15">
      <c r="A11" s="8"/>
      <c r="B11" s="2"/>
      <c r="C11" s="14"/>
      <c r="D11" s="3"/>
      <c r="E11" s="4"/>
      <c r="F11" s="38"/>
      <c r="G11" s="38"/>
      <c r="H11" s="42"/>
      <c r="I11" s="2"/>
      <c r="J11" s="8"/>
      <c r="K11" s="1"/>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38"/>
      <c r="G12" s="38"/>
      <c r="H12" s="42"/>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38"/>
      <c r="G13" s="38"/>
      <c r="H13" s="42"/>
      <c r="I13" s="2"/>
      <c r="J13" s="8"/>
      <c r="K13" s="5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38"/>
      <c r="G14" s="38"/>
      <c r="H14" s="42"/>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38"/>
      <c r="G15" s="38"/>
      <c r="H15" s="42"/>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38"/>
      <c r="G16" s="38"/>
      <c r="H16" s="42"/>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38"/>
      <c r="G17" s="38"/>
      <c r="H17" s="42"/>
      <c r="I17" s="2"/>
      <c r="J17" s="8"/>
      <c r="K17" s="1"/>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38"/>
      <c r="G18" s="38"/>
      <c r="H18" s="42"/>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38"/>
      <c r="G19" s="38"/>
      <c r="H19" s="42"/>
      <c r="I19" s="2"/>
      <c r="J19" s="8"/>
      <c r="K19" s="1"/>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14</v>
      </c>
      <c r="D20" s="3" t="s">
        <v>2</v>
      </c>
      <c r="E20" s="13"/>
      <c r="F20" s="38">
        <v>45983</v>
      </c>
      <c r="G20" s="38">
        <v>45999</v>
      </c>
      <c r="H20" s="42">
        <f t="shared" ref="H20:H68" si="0">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13</v>
      </c>
      <c r="D21" s="15" t="s">
        <v>2</v>
      </c>
      <c r="E21" s="17"/>
      <c r="F21" s="40">
        <v>45992</v>
      </c>
      <c r="G21" s="41">
        <v>45992</v>
      </c>
      <c r="H21" s="42">
        <f t="shared" si="0"/>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2" customFormat="1" ht="25" customHeight="1" x14ac:dyDescent="0.15">
      <c r="A22" s="44"/>
      <c r="B22" s="53"/>
      <c r="C22" s="53" t="s">
        <v>18</v>
      </c>
      <c r="D22" s="54"/>
      <c r="E22" s="55"/>
      <c r="F22" s="56">
        <f>MIN(F23:F45)</f>
        <v>45976</v>
      </c>
      <c r="G22" s="57">
        <f>MAX(G23:G45)</f>
        <v>45999</v>
      </c>
      <c r="H22" s="72">
        <f t="shared" si="0"/>
        <v>24</v>
      </c>
      <c r="I22" s="58"/>
      <c r="J22" s="44"/>
      <c r="K22" s="1"/>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c r="CV22" s="44"/>
      <c r="CW22" s="44"/>
      <c r="CX22" s="44"/>
      <c r="CY22" s="44"/>
      <c r="CZ22" s="44"/>
      <c r="DA22" s="44"/>
      <c r="DB22" s="44"/>
      <c r="DC22" s="44"/>
      <c r="DD22" s="44"/>
      <c r="DE22" s="44"/>
      <c r="DF22" s="44"/>
      <c r="DG22" s="44"/>
      <c r="DH22" s="44"/>
      <c r="DI22" s="44"/>
      <c r="DJ22" s="44"/>
      <c r="DK22" s="44"/>
      <c r="DL22" s="44"/>
      <c r="DM22" s="44"/>
      <c r="DN22" s="44"/>
      <c r="DO22" s="44"/>
      <c r="DP22" s="44"/>
      <c r="DQ22" s="44"/>
      <c r="DR22" s="44"/>
      <c r="DS22" s="44"/>
      <c r="DT22" s="44"/>
      <c r="DU22" s="44"/>
      <c r="DV22" s="44"/>
      <c r="DW22" s="44"/>
      <c r="DX22" s="44"/>
      <c r="DY22" s="44"/>
      <c r="DZ22" s="44"/>
      <c r="EA22" s="44"/>
      <c r="EB22" s="44"/>
      <c r="EC22" s="44"/>
      <c r="ED22" s="44"/>
      <c r="EE22" s="44"/>
      <c r="EF22" s="44"/>
      <c r="EG22" s="44"/>
      <c r="EH22" s="44"/>
      <c r="EI22" s="44"/>
      <c r="EJ22" s="44"/>
      <c r="EK22" s="44"/>
      <c r="EL22" s="44"/>
      <c r="EM22" s="44"/>
      <c r="EN22" s="44"/>
      <c r="EO22" s="44"/>
      <c r="EP22" s="44"/>
      <c r="EQ22" s="44"/>
      <c r="ER22" s="44"/>
      <c r="ES22" s="44"/>
      <c r="ET22" s="44"/>
      <c r="EU22" s="44"/>
      <c r="EV22" s="44"/>
      <c r="EW22" s="44"/>
      <c r="EX22" s="44"/>
      <c r="EY22" s="44"/>
      <c r="EZ22" s="44"/>
      <c r="FA22" s="44"/>
      <c r="FB22" s="44"/>
      <c r="FC22" s="44"/>
      <c r="FD22" s="44"/>
      <c r="FE22" s="44"/>
      <c r="FF22" s="44"/>
      <c r="FG22" s="44"/>
      <c r="FH22" s="44"/>
      <c r="FI22" s="44"/>
      <c r="FJ22" s="44"/>
      <c r="FK22" s="44"/>
      <c r="FL22" s="44"/>
      <c r="FM22" s="44"/>
      <c r="FN22" s="44"/>
      <c r="FO22" s="44"/>
      <c r="FP22" s="44"/>
      <c r="FQ22" s="44"/>
      <c r="FR22" s="44"/>
      <c r="FS22" s="44"/>
      <c r="FT22" s="44"/>
      <c r="FU22" s="44"/>
      <c r="FV22" s="44"/>
      <c r="FW22" s="44"/>
      <c r="FX22" s="44"/>
      <c r="FY22" s="44"/>
      <c r="FZ22" s="44"/>
      <c r="GA22" s="44"/>
      <c r="GB22" s="44"/>
      <c r="GC22" s="44"/>
      <c r="GD22" s="44"/>
      <c r="GE22" s="44"/>
      <c r="GF22" s="44"/>
      <c r="GG22" s="44"/>
      <c r="GH22" s="44"/>
      <c r="GI22" s="44"/>
      <c r="GJ22" s="44"/>
      <c r="GK22" s="44"/>
      <c r="GL22" s="44"/>
      <c r="GM22" s="44"/>
      <c r="GN22" s="44"/>
      <c r="GO22" s="44"/>
      <c r="GP22" s="44"/>
      <c r="GQ22" s="44"/>
      <c r="GR22" s="44"/>
      <c r="GS22" s="44"/>
      <c r="GT22" s="44"/>
      <c r="GU22" s="44"/>
      <c r="GV22" s="44"/>
      <c r="GW22" s="44"/>
      <c r="GX22" s="44"/>
      <c r="GY22" s="44"/>
      <c r="GZ22" s="44"/>
      <c r="HA22" s="44"/>
      <c r="HB22" s="44"/>
      <c r="HC22" s="44"/>
      <c r="HD22" s="44"/>
      <c r="HE22" s="44"/>
      <c r="HF22" s="44"/>
      <c r="HG22" s="44"/>
      <c r="HH22" s="44"/>
      <c r="HI22" s="44"/>
      <c r="HJ22" s="44"/>
      <c r="HK22" s="44"/>
      <c r="HL22" s="44"/>
      <c r="HM22" s="44"/>
      <c r="HN22" s="44"/>
      <c r="HO22" s="44"/>
      <c r="HP22" s="44"/>
      <c r="HQ22" s="44"/>
      <c r="HR22" s="44"/>
      <c r="HS22" s="44"/>
      <c r="HT22" s="44"/>
      <c r="HU22" s="44"/>
      <c r="HV22" s="44"/>
      <c r="HW22" s="44"/>
      <c r="HX22" s="44"/>
      <c r="HY22" s="44"/>
      <c r="HZ22" s="44"/>
      <c r="IA22" s="44"/>
      <c r="IB22" s="44"/>
      <c r="IC22" s="44"/>
      <c r="ID22" s="44"/>
      <c r="IE22" s="44"/>
      <c r="IF22" s="44"/>
      <c r="IG22" s="44"/>
      <c r="IH22" s="44"/>
      <c r="II22" s="44"/>
      <c r="IJ22" s="44"/>
      <c r="IK22" s="44"/>
      <c r="IL22" s="44"/>
      <c r="IM22" s="44"/>
      <c r="IN22" s="44"/>
      <c r="IO22" s="44"/>
      <c r="IP22" s="44"/>
      <c r="IQ22" s="44"/>
      <c r="IR22" s="44"/>
      <c r="IS22" s="44"/>
      <c r="IT22" s="44"/>
      <c r="IU22" s="44"/>
      <c r="IV22" s="44"/>
      <c r="IW22" s="44"/>
      <c r="IX22" s="44"/>
    </row>
    <row r="23" spans="1:258" s="9" customFormat="1" ht="15" outlineLevel="1" x14ac:dyDescent="0.15">
      <c r="A23" s="8"/>
      <c r="B23" s="2"/>
      <c r="C23" s="14" t="s">
        <v>23</v>
      </c>
      <c r="D23" s="3" t="s">
        <v>0</v>
      </c>
      <c r="E23" s="13" t="s">
        <v>22</v>
      </c>
      <c r="F23" s="38">
        <v>45976</v>
      </c>
      <c r="G23" s="38">
        <v>45976</v>
      </c>
      <c r="H23" s="43">
        <f t="shared" si="0"/>
        <v>1</v>
      </c>
      <c r="I23" s="74"/>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t="s">
        <v>42</v>
      </c>
      <c r="D24" s="3" t="s">
        <v>0</v>
      </c>
      <c r="E24" s="13" t="s">
        <v>49</v>
      </c>
      <c r="F24" s="38">
        <v>45990</v>
      </c>
      <c r="G24" s="38">
        <v>45990</v>
      </c>
      <c r="H24" s="43">
        <v>1</v>
      </c>
      <c r="I24" s="2" t="s">
        <v>47</v>
      </c>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79"/>
      <c r="C25" s="81" t="s">
        <v>28</v>
      </c>
      <c r="D25" s="83" t="s">
        <v>0</v>
      </c>
      <c r="E25" s="85" t="s">
        <v>50</v>
      </c>
      <c r="F25" s="75">
        <v>45990</v>
      </c>
      <c r="G25" s="75">
        <v>45990</v>
      </c>
      <c r="H25" s="77">
        <v>1</v>
      </c>
      <c r="I25" s="79" t="s">
        <v>51</v>
      </c>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80"/>
      <c r="C26" s="82"/>
      <c r="D26" s="84"/>
      <c r="E26" s="86"/>
      <c r="F26" s="76"/>
      <c r="G26" s="76"/>
      <c r="H26" s="78"/>
      <c r="I26" s="80"/>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t="s">
        <v>29</v>
      </c>
      <c r="D27" s="3" t="s">
        <v>0</v>
      </c>
      <c r="E27" s="13" t="s">
        <v>71</v>
      </c>
      <c r="F27" s="38">
        <v>45984</v>
      </c>
      <c r="G27" s="38">
        <v>45984</v>
      </c>
      <c r="H27" s="43">
        <v>1</v>
      </c>
      <c r="I27" s="2" t="s">
        <v>72</v>
      </c>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t="s">
        <v>30</v>
      </c>
      <c r="D28" s="3" t="s">
        <v>0</v>
      </c>
      <c r="E28" s="13" t="s">
        <v>70</v>
      </c>
      <c r="F28" s="38">
        <v>45984</v>
      </c>
      <c r="G28" s="38">
        <v>45984</v>
      </c>
      <c r="H28" s="43">
        <v>1</v>
      </c>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t="s">
        <v>31</v>
      </c>
      <c r="D29" s="3" t="s">
        <v>0</v>
      </c>
      <c r="E29" s="13" t="s">
        <v>69</v>
      </c>
      <c r="F29" s="38">
        <v>45984</v>
      </c>
      <c r="G29" s="38">
        <v>45984</v>
      </c>
      <c r="H29" s="43">
        <v>1</v>
      </c>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t="s">
        <v>32</v>
      </c>
      <c r="D30" s="3" t="s">
        <v>0</v>
      </c>
      <c r="E30" s="13"/>
      <c r="F30" s="38">
        <v>45986</v>
      </c>
      <c r="G30" s="38">
        <v>45986</v>
      </c>
      <c r="H30" s="43">
        <v>1</v>
      </c>
      <c r="I30" s="2" t="s">
        <v>65</v>
      </c>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t="s">
        <v>33</v>
      </c>
      <c r="D31" s="3" t="s">
        <v>0</v>
      </c>
      <c r="E31" s="13" t="s">
        <v>68</v>
      </c>
      <c r="F31" s="38">
        <v>45984</v>
      </c>
      <c r="G31" s="38">
        <v>45984</v>
      </c>
      <c r="H31" s="43">
        <v>1</v>
      </c>
      <c r="I31" s="2"/>
      <c r="J31" s="8"/>
      <c r="K31" s="1"/>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t="s">
        <v>34</v>
      </c>
      <c r="D32" s="3" t="s">
        <v>0</v>
      </c>
      <c r="E32" s="13" t="s">
        <v>67</v>
      </c>
      <c r="F32" s="38">
        <v>45984</v>
      </c>
      <c r="G32" s="38">
        <v>45984</v>
      </c>
      <c r="H32" s="43">
        <v>1</v>
      </c>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t="s">
        <v>35</v>
      </c>
      <c r="D33" s="3" t="s">
        <v>0</v>
      </c>
      <c r="E33" s="13" t="s">
        <v>66</v>
      </c>
      <c r="F33" s="38">
        <v>45986</v>
      </c>
      <c r="G33" s="38">
        <v>45986</v>
      </c>
      <c r="H33" s="43">
        <v>1</v>
      </c>
      <c r="I33" s="2"/>
      <c r="J33" s="8"/>
      <c r="K33" s="1"/>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36</v>
      </c>
      <c r="D34" s="3" t="s">
        <v>0</v>
      </c>
      <c r="E34" s="13" t="s">
        <v>63</v>
      </c>
      <c r="F34" s="38">
        <v>45986</v>
      </c>
      <c r="G34" s="38">
        <v>45986</v>
      </c>
      <c r="H34" s="43">
        <v>1</v>
      </c>
      <c r="I34" s="2" t="s">
        <v>64</v>
      </c>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x14ac:dyDescent="0.15">
      <c r="A35" s="8"/>
      <c r="B35" s="2"/>
      <c r="C35" s="14" t="s">
        <v>37</v>
      </c>
      <c r="D35" s="3" t="s">
        <v>0</v>
      </c>
      <c r="E35" s="13" t="s">
        <v>61</v>
      </c>
      <c r="F35" s="38">
        <v>45986</v>
      </c>
      <c r="G35" s="38">
        <v>45986</v>
      </c>
      <c r="H35" s="43">
        <v>1</v>
      </c>
      <c r="I35" s="2" t="s">
        <v>62</v>
      </c>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9" customFormat="1" ht="25" customHeight="1" outlineLevel="1" x14ac:dyDescent="0.15">
      <c r="A36" s="8"/>
      <c r="B36" s="2"/>
      <c r="C36" s="14" t="s">
        <v>38</v>
      </c>
      <c r="D36" s="3" t="s">
        <v>0</v>
      </c>
      <c r="E36" s="13" t="s">
        <v>60</v>
      </c>
      <c r="F36" s="38">
        <v>45986</v>
      </c>
      <c r="G36" s="38">
        <v>45986</v>
      </c>
      <c r="H36" s="43">
        <v>1</v>
      </c>
      <c r="I36" s="2"/>
      <c r="J36" s="8"/>
      <c r="K36" s="1"/>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row>
    <row r="37" spans="1:258" s="9" customFormat="1" ht="25" customHeight="1" outlineLevel="1" x14ac:dyDescent="0.15">
      <c r="A37" s="8"/>
      <c r="B37" s="2"/>
      <c r="C37" s="14" t="s">
        <v>39</v>
      </c>
      <c r="D37" s="3" t="s">
        <v>0</v>
      </c>
      <c r="E37" s="13" t="s">
        <v>52</v>
      </c>
      <c r="F37" s="38">
        <v>45976</v>
      </c>
      <c r="G37" s="38">
        <v>45976</v>
      </c>
      <c r="H37" s="43">
        <v>1</v>
      </c>
      <c r="I37" s="2"/>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t="s">
        <v>40</v>
      </c>
      <c r="D38" s="3" t="s">
        <v>0</v>
      </c>
      <c r="E38" s="13" t="s">
        <v>59</v>
      </c>
      <c r="F38" s="38">
        <v>45978</v>
      </c>
      <c r="G38" s="38">
        <v>45978</v>
      </c>
      <c r="H38" s="43">
        <v>1</v>
      </c>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t="s">
        <v>41</v>
      </c>
      <c r="D39" s="3" t="s">
        <v>0</v>
      </c>
      <c r="E39" s="13" t="s">
        <v>57</v>
      </c>
      <c r="F39" s="38">
        <v>45978</v>
      </c>
      <c r="G39" s="38">
        <v>45978</v>
      </c>
      <c r="H39" s="43">
        <v>1</v>
      </c>
      <c r="I39" s="2" t="s">
        <v>58</v>
      </c>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79"/>
      <c r="C40" s="81" t="s">
        <v>43</v>
      </c>
      <c r="D40" s="83" t="s">
        <v>0</v>
      </c>
      <c r="E40" s="87" t="s">
        <v>48</v>
      </c>
      <c r="F40" s="75">
        <v>45990</v>
      </c>
      <c r="G40" s="75">
        <v>45990</v>
      </c>
      <c r="H40" s="77">
        <v>1</v>
      </c>
      <c r="I40" s="79" t="s">
        <v>44</v>
      </c>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80"/>
      <c r="C41" s="82"/>
      <c r="D41" s="84"/>
      <c r="E41" s="88"/>
      <c r="F41" s="76"/>
      <c r="G41" s="76"/>
      <c r="H41" s="78"/>
      <c r="I41" s="80"/>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t="s">
        <v>45</v>
      </c>
      <c r="D42" s="3" t="s">
        <v>0</v>
      </c>
      <c r="E42" s="13" t="s">
        <v>53</v>
      </c>
      <c r="F42" s="38">
        <v>45981</v>
      </c>
      <c r="G42" s="38">
        <v>45981</v>
      </c>
      <c r="H42" s="43">
        <v>1</v>
      </c>
      <c r="I42" s="2" t="s">
        <v>46</v>
      </c>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t="s">
        <v>54</v>
      </c>
      <c r="D43" s="3" t="s">
        <v>0</v>
      </c>
      <c r="E43" s="13" t="s">
        <v>55</v>
      </c>
      <c r="F43" s="38">
        <v>45976</v>
      </c>
      <c r="G43" s="38">
        <v>45976</v>
      </c>
      <c r="H43" s="43">
        <v>1</v>
      </c>
      <c r="I43" s="2" t="s">
        <v>56</v>
      </c>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t="s">
        <v>14</v>
      </c>
      <c r="D44" s="3" t="s">
        <v>0</v>
      </c>
      <c r="E44" s="13"/>
      <c r="F44" s="38">
        <v>45983</v>
      </c>
      <c r="G44" s="38">
        <v>45999</v>
      </c>
      <c r="H44" s="43">
        <f t="shared" si="0"/>
        <v>17</v>
      </c>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thickBot="1" x14ac:dyDescent="0.2">
      <c r="A45" s="8"/>
      <c r="B45" s="2"/>
      <c r="C45" s="14" t="s">
        <v>13</v>
      </c>
      <c r="D45" s="15" t="s">
        <v>0</v>
      </c>
      <c r="E45" s="17"/>
      <c r="F45" s="40">
        <v>45992</v>
      </c>
      <c r="G45" s="41">
        <v>45992</v>
      </c>
      <c r="H45" s="43">
        <f t="shared" si="0"/>
        <v>1</v>
      </c>
      <c r="I45" s="2"/>
      <c r="J45" s="8"/>
      <c r="K45" s="1"/>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52" customFormat="1" ht="25" customHeight="1" x14ac:dyDescent="0.15">
      <c r="A46" s="44"/>
      <c r="B46" s="45"/>
      <c r="C46" s="45" t="s">
        <v>19</v>
      </c>
      <c r="D46" s="46"/>
      <c r="E46" s="47"/>
      <c r="F46" s="48">
        <f>MIN(F47:F59)</f>
        <v>45973</v>
      </c>
      <c r="G46" s="49">
        <f>MAX(G47:G59)</f>
        <v>45999</v>
      </c>
      <c r="H46" s="71">
        <f t="shared" si="0"/>
        <v>27</v>
      </c>
      <c r="I46" s="50"/>
      <c r="J46" s="44"/>
      <c r="K46" s="1"/>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c r="GV46" s="44"/>
      <c r="GW46" s="44"/>
      <c r="GX46" s="44"/>
      <c r="GY46" s="44"/>
      <c r="GZ46" s="44"/>
      <c r="HA46" s="44"/>
      <c r="HB46" s="44"/>
      <c r="HC46" s="44"/>
      <c r="HD46" s="44"/>
      <c r="HE46" s="44"/>
      <c r="HF46" s="44"/>
      <c r="HG46" s="44"/>
      <c r="HH46" s="44"/>
      <c r="HI46" s="44"/>
      <c r="HJ46" s="44"/>
      <c r="HK46" s="44"/>
      <c r="HL46" s="44"/>
      <c r="HM46" s="44"/>
      <c r="HN46" s="44"/>
      <c r="HO46" s="44"/>
      <c r="HP46" s="44"/>
      <c r="HQ46" s="44"/>
      <c r="HR46" s="44"/>
      <c r="HS46" s="44"/>
      <c r="HT46" s="44"/>
      <c r="HU46" s="44"/>
      <c r="HV46" s="44"/>
      <c r="HW46" s="44"/>
      <c r="HX46" s="44"/>
      <c r="HY46" s="44"/>
      <c r="HZ46" s="44"/>
      <c r="IA46" s="44"/>
      <c r="IB46" s="44"/>
      <c r="IC46" s="44"/>
      <c r="ID46" s="44"/>
      <c r="IE46" s="44"/>
      <c r="IF46" s="44"/>
      <c r="IG46" s="44"/>
      <c r="IH46" s="44"/>
      <c r="II46" s="44"/>
      <c r="IJ46" s="44"/>
      <c r="IK46" s="44"/>
      <c r="IL46" s="44"/>
      <c r="IM46" s="44"/>
      <c r="IN46" s="44"/>
      <c r="IO46" s="44"/>
      <c r="IP46" s="44"/>
      <c r="IQ46" s="44"/>
      <c r="IR46" s="44"/>
      <c r="IS46" s="44"/>
      <c r="IT46" s="44"/>
      <c r="IU46" s="44"/>
      <c r="IV46" s="44"/>
      <c r="IW46" s="44"/>
      <c r="IX46" s="44"/>
    </row>
    <row r="47" spans="1:258" s="9" customFormat="1" ht="16" outlineLevel="1" thickBot="1" x14ac:dyDescent="0.2">
      <c r="A47" s="8"/>
      <c r="B47" s="2" t="s">
        <v>103</v>
      </c>
      <c r="C47" s="14" t="s">
        <v>73</v>
      </c>
      <c r="D47" s="15" t="s">
        <v>0</v>
      </c>
      <c r="E47" s="12" t="s">
        <v>100</v>
      </c>
      <c r="F47" s="38">
        <v>45973</v>
      </c>
      <c r="G47" s="39">
        <v>45975</v>
      </c>
      <c r="H47" s="73">
        <f t="shared" si="0"/>
        <v>3</v>
      </c>
      <c r="I47" s="74"/>
      <c r="J47" s="8"/>
      <c r="K47" s="1"/>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31" outlineLevel="1" thickBot="1" x14ac:dyDescent="0.2">
      <c r="A48" s="8"/>
      <c r="B48" s="2"/>
      <c r="C48" s="14" t="s">
        <v>74</v>
      </c>
      <c r="D48" s="15" t="s">
        <v>0</v>
      </c>
      <c r="E48" s="12" t="s">
        <v>101</v>
      </c>
      <c r="F48" s="38">
        <v>45975</v>
      </c>
      <c r="G48" s="39">
        <v>45975</v>
      </c>
      <c r="H48" s="73">
        <v>1</v>
      </c>
      <c r="I48" s="74"/>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46" outlineLevel="1" thickBot="1" x14ac:dyDescent="0.2">
      <c r="A49" s="8"/>
      <c r="B49" s="2"/>
      <c r="C49" s="14" t="s">
        <v>76</v>
      </c>
      <c r="D49" s="15" t="s">
        <v>0</v>
      </c>
      <c r="E49" s="12"/>
      <c r="F49" s="38">
        <v>45984</v>
      </c>
      <c r="G49" s="39">
        <v>45984</v>
      </c>
      <c r="H49" s="73">
        <v>1</v>
      </c>
      <c r="I49" s="12" t="s">
        <v>75</v>
      </c>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9" customFormat="1" ht="31" outlineLevel="1" thickBot="1" x14ac:dyDescent="0.2">
      <c r="A50" s="8"/>
      <c r="B50" s="2"/>
      <c r="C50" s="14" t="s">
        <v>77</v>
      </c>
      <c r="D50" s="15" t="s">
        <v>0</v>
      </c>
      <c r="E50" s="12"/>
      <c r="F50" s="38">
        <v>45973</v>
      </c>
      <c r="G50" s="39">
        <v>45992</v>
      </c>
      <c r="H50" s="73">
        <v>19</v>
      </c>
      <c r="I50" s="89" t="s">
        <v>99</v>
      </c>
      <c r="J50" s="8"/>
      <c r="K50" s="1"/>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row>
    <row r="51" spans="1:258" s="9" customFormat="1" ht="16" outlineLevel="1" thickBot="1" x14ac:dyDescent="0.2">
      <c r="A51" s="8"/>
      <c r="B51" s="2" t="s">
        <v>103</v>
      </c>
      <c r="C51" s="14" t="s">
        <v>78</v>
      </c>
      <c r="D51" s="15" t="s">
        <v>0</v>
      </c>
      <c r="E51" s="12" t="s">
        <v>104</v>
      </c>
      <c r="F51" s="38">
        <v>45992</v>
      </c>
      <c r="G51" s="39">
        <v>45992</v>
      </c>
      <c r="H51" s="73">
        <v>1</v>
      </c>
      <c r="I51" s="74"/>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9" outlineLevel="1" thickBot="1" x14ac:dyDescent="0.2">
      <c r="A52" s="8"/>
      <c r="B52" s="2" t="s">
        <v>105</v>
      </c>
      <c r="C52" s="14" t="s">
        <v>79</v>
      </c>
      <c r="D52" s="15" t="s">
        <v>0</v>
      </c>
      <c r="E52" s="90" t="s">
        <v>80</v>
      </c>
      <c r="F52" s="38">
        <v>45976</v>
      </c>
      <c r="G52" s="39">
        <v>45976</v>
      </c>
      <c r="H52" s="73">
        <v>1</v>
      </c>
      <c r="I52" s="74"/>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85" outlineLevel="1" thickBot="1" x14ac:dyDescent="0.2">
      <c r="A53" s="8"/>
      <c r="B53" s="2" t="s">
        <v>106</v>
      </c>
      <c r="C53" s="14" t="s">
        <v>81</v>
      </c>
      <c r="D53" s="15" t="s">
        <v>0</v>
      </c>
      <c r="E53" s="90" t="s">
        <v>82</v>
      </c>
      <c r="F53" s="38">
        <v>45975</v>
      </c>
      <c r="G53" s="39">
        <v>45976</v>
      </c>
      <c r="H53" s="73">
        <v>2</v>
      </c>
      <c r="I53" s="74"/>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31" outlineLevel="1" thickBot="1" x14ac:dyDescent="0.2">
      <c r="A54" s="8"/>
      <c r="B54" s="2" t="s">
        <v>107</v>
      </c>
      <c r="C54" s="14" t="s">
        <v>83</v>
      </c>
      <c r="D54" s="15" t="s">
        <v>0</v>
      </c>
      <c r="E54" s="90" t="s">
        <v>84</v>
      </c>
      <c r="F54" s="38">
        <v>45986</v>
      </c>
      <c r="G54" s="39">
        <v>45986</v>
      </c>
      <c r="H54" s="73">
        <v>1</v>
      </c>
      <c r="I54" s="74"/>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71" outlineLevel="1" thickBot="1" x14ac:dyDescent="0.2">
      <c r="A55" s="8"/>
      <c r="B55" s="2" t="s">
        <v>102</v>
      </c>
      <c r="C55" s="14" t="s">
        <v>41</v>
      </c>
      <c r="D55" s="15" t="s">
        <v>0</v>
      </c>
      <c r="E55" s="12" t="s">
        <v>85</v>
      </c>
      <c r="F55" s="38">
        <v>45978</v>
      </c>
      <c r="G55" s="39">
        <v>45978</v>
      </c>
      <c r="H55" s="73">
        <v>1</v>
      </c>
      <c r="I55" s="74"/>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31" outlineLevel="1" thickBot="1" x14ac:dyDescent="0.2">
      <c r="A56" s="8"/>
      <c r="B56" s="2" t="s">
        <v>108</v>
      </c>
      <c r="C56" s="14" t="s">
        <v>86</v>
      </c>
      <c r="D56" s="15" t="s">
        <v>0</v>
      </c>
      <c r="E56" s="12" t="s">
        <v>87</v>
      </c>
      <c r="F56" s="38">
        <v>45982</v>
      </c>
      <c r="G56" s="39">
        <v>45982</v>
      </c>
      <c r="H56" s="73">
        <v>1</v>
      </c>
      <c r="I56" s="74"/>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31" outlineLevel="1" thickBot="1" x14ac:dyDescent="0.2">
      <c r="A57" s="8"/>
      <c r="B57" s="2" t="s">
        <v>107</v>
      </c>
      <c r="C57" s="14" t="s">
        <v>88</v>
      </c>
      <c r="D57" s="15" t="s">
        <v>0</v>
      </c>
      <c r="E57" s="12" t="s">
        <v>89</v>
      </c>
      <c r="F57" s="38">
        <v>45982</v>
      </c>
      <c r="G57" s="39">
        <v>45982</v>
      </c>
      <c r="H57" s="73">
        <v>1</v>
      </c>
      <c r="I57" s="74"/>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16" outlineLevel="1" thickBot="1" x14ac:dyDescent="0.2">
      <c r="A58" s="8"/>
      <c r="B58" s="2"/>
      <c r="C58" s="14" t="s">
        <v>14</v>
      </c>
      <c r="D58" s="15" t="s">
        <v>0</v>
      </c>
      <c r="E58" s="12"/>
      <c r="F58" s="38">
        <v>45983</v>
      </c>
      <c r="G58" s="39">
        <v>45999</v>
      </c>
      <c r="H58" s="73">
        <f t="shared" si="0"/>
        <v>17</v>
      </c>
      <c r="I58" s="74"/>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16" outlineLevel="1" thickBot="1" x14ac:dyDescent="0.2">
      <c r="A59" s="8"/>
      <c r="B59" s="2"/>
      <c r="C59" s="14" t="s">
        <v>13</v>
      </c>
      <c r="D59" s="15" t="s">
        <v>0</v>
      </c>
      <c r="E59" s="12"/>
      <c r="F59" s="38">
        <v>45992</v>
      </c>
      <c r="G59" s="39">
        <v>45992</v>
      </c>
      <c r="H59" s="73">
        <f t="shared" si="0"/>
        <v>1</v>
      </c>
      <c r="I59" s="74"/>
      <c r="J59" s="8"/>
      <c r="K59" s="1"/>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52" customFormat="1" ht="25" customHeight="1" x14ac:dyDescent="0.15">
      <c r="A60" s="44"/>
      <c r="B60" s="64"/>
      <c r="C60" s="64" t="s">
        <v>20</v>
      </c>
      <c r="D60" s="65"/>
      <c r="E60" s="66"/>
      <c r="F60" s="67">
        <f>MIN(F61:F69)</f>
        <v>45983</v>
      </c>
      <c r="G60" s="68">
        <f>MAX(G61:G69)</f>
        <v>45999</v>
      </c>
      <c r="H60" s="70">
        <f t="shared" si="0"/>
        <v>17</v>
      </c>
      <c r="I60" s="69"/>
      <c r="J60" s="44"/>
      <c r="K60" s="1"/>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c r="GV60" s="44"/>
      <c r="GW60" s="44"/>
      <c r="GX60" s="44"/>
      <c r="GY60" s="44"/>
      <c r="GZ60" s="44"/>
      <c r="HA60" s="44"/>
      <c r="HB60" s="44"/>
      <c r="HC60" s="44"/>
      <c r="HD60" s="44"/>
      <c r="HE60" s="44"/>
      <c r="HF60" s="44"/>
      <c r="HG60" s="44"/>
      <c r="HH60" s="44"/>
      <c r="HI60" s="44"/>
      <c r="HJ60" s="44"/>
      <c r="HK60" s="44"/>
      <c r="HL60" s="44"/>
      <c r="HM60" s="44"/>
      <c r="HN60" s="44"/>
      <c r="HO60" s="44"/>
      <c r="HP60" s="44"/>
      <c r="HQ60" s="44"/>
      <c r="HR60" s="44"/>
      <c r="HS60" s="44"/>
      <c r="HT60" s="44"/>
      <c r="HU60" s="44"/>
      <c r="HV60" s="44"/>
      <c r="HW60" s="44"/>
      <c r="HX60" s="44"/>
      <c r="HY60" s="44"/>
      <c r="HZ60" s="44"/>
      <c r="IA60" s="44"/>
      <c r="IB60" s="44"/>
      <c r="IC60" s="44"/>
      <c r="ID60" s="44"/>
      <c r="IE60" s="44"/>
      <c r="IF60" s="44"/>
      <c r="IG60" s="44"/>
      <c r="IH60" s="44"/>
      <c r="II60" s="44"/>
      <c r="IJ60" s="44"/>
      <c r="IK60" s="44"/>
      <c r="IL60" s="44"/>
      <c r="IM60" s="44"/>
      <c r="IN60" s="44"/>
      <c r="IO60" s="44"/>
      <c r="IP60" s="44"/>
      <c r="IQ60" s="44"/>
      <c r="IR60" s="44"/>
      <c r="IS60" s="44"/>
      <c r="IT60" s="44"/>
      <c r="IU60" s="44"/>
      <c r="IV60" s="44"/>
      <c r="IW60" s="44"/>
      <c r="IX60" s="44"/>
    </row>
    <row r="61" spans="1:258" s="9" customFormat="1" ht="98" outlineLevel="1" x14ac:dyDescent="0.15">
      <c r="A61" s="8"/>
      <c r="B61" s="2" t="s">
        <v>110</v>
      </c>
      <c r="C61" s="14" t="s">
        <v>24</v>
      </c>
      <c r="D61" s="3" t="s">
        <v>0</v>
      </c>
      <c r="E61" s="13" t="s">
        <v>109</v>
      </c>
      <c r="F61" s="38">
        <v>45984</v>
      </c>
      <c r="G61" s="38">
        <v>45984</v>
      </c>
      <c r="H61" s="31">
        <f t="shared" si="0"/>
        <v>1</v>
      </c>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30" outlineLevel="1" x14ac:dyDescent="0.15">
      <c r="A62" s="8"/>
      <c r="B62" s="2"/>
      <c r="C62" s="14" t="s">
        <v>93</v>
      </c>
      <c r="D62" s="3" t="s">
        <v>0</v>
      </c>
      <c r="E62" s="91" t="s">
        <v>97</v>
      </c>
      <c r="F62" s="38">
        <v>45992</v>
      </c>
      <c r="G62" s="38">
        <v>45992</v>
      </c>
      <c r="H62" s="31">
        <f>IF(OR(F62=0, ISBLANK(F62)),0,G62-F62+1)</f>
        <v>1</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15" outlineLevel="1" x14ac:dyDescent="0.15">
      <c r="A63" s="8"/>
      <c r="B63" s="2" t="s">
        <v>111</v>
      </c>
      <c r="C63" s="14" t="s">
        <v>91</v>
      </c>
      <c r="D63" s="3" t="s">
        <v>0</v>
      </c>
      <c r="E63" s="13" t="s">
        <v>112</v>
      </c>
      <c r="F63" s="38">
        <v>45984</v>
      </c>
      <c r="G63" s="38">
        <v>45992</v>
      </c>
      <c r="H63" s="31">
        <f>IF(OR(F63=0, ISBLANK(F63)),0,G63-F63+1)</f>
        <v>9</v>
      </c>
      <c r="I63" s="2"/>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s="9" customFormat="1" ht="15" outlineLevel="1" x14ac:dyDescent="0.15">
      <c r="A64" s="8"/>
      <c r="B64" s="2" t="s">
        <v>111</v>
      </c>
      <c r="C64" s="14" t="s">
        <v>94</v>
      </c>
      <c r="D64" s="3" t="s">
        <v>0</v>
      </c>
      <c r="E64" s="13" t="s">
        <v>98</v>
      </c>
      <c r="F64" s="38">
        <v>45986</v>
      </c>
      <c r="G64" s="38">
        <v>45976</v>
      </c>
      <c r="H64" s="31">
        <f>IF(OR(F64=0, ISBLANK(F64)),0,G64-F64+1)</f>
        <v>-9</v>
      </c>
      <c r="I64" s="2"/>
      <c r="J64" s="8"/>
      <c r="K64" s="1"/>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row>
    <row r="65" spans="1:258" s="9" customFormat="1" ht="30" outlineLevel="1" x14ac:dyDescent="0.15">
      <c r="A65" s="8"/>
      <c r="B65" s="2" t="s">
        <v>113</v>
      </c>
      <c r="C65" s="14" t="s">
        <v>90</v>
      </c>
      <c r="D65" s="3" t="s">
        <v>0</v>
      </c>
      <c r="E65" s="13" t="s">
        <v>96</v>
      </c>
      <c r="F65" s="38">
        <v>45984</v>
      </c>
      <c r="G65" s="38">
        <v>45985</v>
      </c>
      <c r="H65" s="31">
        <f t="shared" si="0"/>
        <v>2</v>
      </c>
      <c r="I65" s="2"/>
      <c r="J65" s="8"/>
      <c r="K65" s="1"/>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row>
    <row r="66" spans="1:258" s="9" customFormat="1" ht="30" outlineLevel="1" x14ac:dyDescent="0.15">
      <c r="A66" s="8"/>
      <c r="B66" s="2" t="s">
        <v>114</v>
      </c>
      <c r="C66" s="14" t="s">
        <v>92</v>
      </c>
      <c r="D66" s="3" t="s">
        <v>0</v>
      </c>
      <c r="E66" s="13" t="s">
        <v>115</v>
      </c>
      <c r="F66" s="38">
        <v>45985</v>
      </c>
      <c r="G66" s="38">
        <v>45985</v>
      </c>
      <c r="H66" s="31">
        <f t="shared" si="0"/>
        <v>1</v>
      </c>
      <c r="I66" s="2"/>
      <c r="J66" s="8"/>
      <c r="K66" s="1"/>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row>
    <row r="67" spans="1:258" s="9" customFormat="1" ht="30" outlineLevel="1" x14ac:dyDescent="0.15">
      <c r="A67" s="8"/>
      <c r="B67" s="2" t="s">
        <v>116</v>
      </c>
      <c r="C67" s="14" t="s">
        <v>95</v>
      </c>
      <c r="D67" s="3" t="s">
        <v>0</v>
      </c>
      <c r="E67" s="13" t="s">
        <v>117</v>
      </c>
      <c r="F67" s="38">
        <v>45985</v>
      </c>
      <c r="G67" s="38">
        <v>45992</v>
      </c>
      <c r="H67" s="31">
        <f t="shared" si="0"/>
        <v>8</v>
      </c>
      <c r="I67" s="2"/>
      <c r="J67" s="8"/>
      <c r="K67" s="1"/>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row>
    <row r="68" spans="1:258" s="9" customFormat="1" ht="15" outlineLevel="1" x14ac:dyDescent="0.15">
      <c r="A68" s="8"/>
      <c r="B68" s="2"/>
      <c r="C68" s="14" t="s">
        <v>14</v>
      </c>
      <c r="D68" s="3" t="s">
        <v>0</v>
      </c>
      <c r="E68" s="13"/>
      <c r="F68" s="38">
        <v>45983</v>
      </c>
      <c r="G68" s="38">
        <v>45999</v>
      </c>
      <c r="H68" s="31">
        <f t="shared" si="0"/>
        <v>17</v>
      </c>
      <c r="I68" s="2"/>
      <c r="J68" s="8"/>
      <c r="K68" s="1"/>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row>
    <row r="69" spans="1:258" s="9" customFormat="1" ht="16" outlineLevel="1" thickBot="1" x14ac:dyDescent="0.2">
      <c r="A69" s="8"/>
      <c r="B69" s="16"/>
      <c r="C69" s="14" t="s">
        <v>13</v>
      </c>
      <c r="D69" s="15" t="s">
        <v>2</v>
      </c>
      <c r="E69" s="17"/>
      <c r="F69" s="40">
        <v>45992</v>
      </c>
      <c r="G69" s="41">
        <v>45992</v>
      </c>
      <c r="H69" s="31">
        <f t="shared" ref="H69" si="1">IF(OR(F69=0, ISBLANK(F69)),0,G69-F69+1)</f>
        <v>1</v>
      </c>
      <c r="I69" s="16"/>
      <c r="J69" s="8"/>
      <c r="K69" s="1"/>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row>
    <row r="70" spans="1:258" ht="409" customHeight="1" x14ac:dyDescent="0.15">
      <c r="A70" s="1"/>
      <c r="B70" s="1"/>
      <c r="C70" s="1"/>
      <c r="D70" s="1"/>
      <c r="E70" s="1"/>
      <c r="F70" s="34"/>
      <c r="G70" s="34"/>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ht="300" customHeight="1" x14ac:dyDescent="0.15">
      <c r="A71" s="1"/>
      <c r="B71" s="1"/>
      <c r="C71" s="1"/>
      <c r="D71" s="1"/>
      <c r="E71" s="1"/>
      <c r="F71" s="34"/>
      <c r="G71" s="34"/>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4"/>
      <c r="G72" s="34"/>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4"/>
      <c r="G73" s="34"/>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4"/>
      <c r="G74" s="34"/>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4"/>
      <c r="G75" s="34"/>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4"/>
      <c r="G76" s="34"/>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4"/>
      <c r="G77" s="34"/>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4"/>
      <c r="G78" s="34"/>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4"/>
      <c r="G79" s="34"/>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4"/>
      <c r="G80" s="34"/>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4"/>
      <c r="G81" s="34"/>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4"/>
      <c r="G82" s="34"/>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4"/>
      <c r="G83" s="34"/>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4"/>
      <c r="G84" s="34"/>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4"/>
      <c r="G85" s="34"/>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4"/>
      <c r="G86" s="34"/>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4"/>
      <c r="G87" s="34"/>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4"/>
      <c r="G88" s="34"/>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4"/>
      <c r="G89" s="34"/>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4"/>
      <c r="G90" s="34"/>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4"/>
      <c r="G91" s="34"/>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4"/>
      <c r="G92" s="34"/>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4"/>
      <c r="G93" s="34"/>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4"/>
      <c r="G94" s="34"/>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4"/>
      <c r="G95" s="34"/>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4"/>
      <c r="G96" s="34"/>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4"/>
      <c r="G97" s="34"/>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4"/>
      <c r="G98" s="34"/>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4"/>
      <c r="G99" s="34"/>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4"/>
      <c r="G100" s="34"/>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4"/>
      <c r="G101" s="34"/>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4"/>
      <c r="G102" s="34"/>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4"/>
      <c r="G103" s="34"/>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4"/>
      <c r="G104" s="34"/>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4"/>
      <c r="G105" s="34"/>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4"/>
      <c r="G106" s="34"/>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4"/>
      <c r="G107" s="34"/>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4"/>
      <c r="G108" s="34"/>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4"/>
      <c r="G109" s="34"/>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4"/>
      <c r="G110" s="34"/>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4"/>
      <c r="G111" s="34"/>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4"/>
      <c r="G112" s="34"/>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4"/>
      <c r="G113" s="34"/>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4"/>
      <c r="G114" s="34"/>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4"/>
      <c r="G115" s="34"/>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4"/>
      <c r="G116" s="34"/>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4"/>
      <c r="G117" s="34"/>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4"/>
      <c r="G118" s="34"/>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4"/>
      <c r="G119" s="34"/>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4"/>
      <c r="G120" s="34"/>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4"/>
      <c r="G121" s="34"/>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4"/>
      <c r="G122" s="34"/>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4"/>
      <c r="G123" s="34"/>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4"/>
      <c r="G124" s="34"/>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4"/>
      <c r="G125" s="34"/>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4"/>
      <c r="G126" s="34"/>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4"/>
      <c r="G127" s="34"/>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4"/>
      <c r="G128" s="34"/>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4"/>
      <c r="G129" s="34"/>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4"/>
      <c r="G130" s="34"/>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4"/>
      <c r="G131" s="34"/>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4"/>
      <c r="G132" s="34"/>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4"/>
      <c r="G133" s="34"/>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4"/>
      <c r="G134" s="34"/>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4"/>
      <c r="G135" s="34"/>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4"/>
      <c r="G136" s="34"/>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4"/>
      <c r="G137" s="34"/>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4"/>
      <c r="G138" s="34"/>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4"/>
      <c r="G139" s="34"/>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4"/>
      <c r="G140" s="34"/>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4"/>
      <c r="G141" s="34"/>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4"/>
      <c r="G142" s="34"/>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4"/>
      <c r="G143" s="34"/>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4"/>
      <c r="G144" s="34"/>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4"/>
      <c r="G145" s="34"/>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4"/>
      <c r="G146" s="34"/>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4"/>
      <c r="G147" s="34"/>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4"/>
      <c r="G148" s="34"/>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4"/>
      <c r="G149" s="34"/>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4"/>
      <c r="G150" s="34"/>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4"/>
      <c r="G151" s="34"/>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4"/>
      <c r="G152" s="34"/>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4"/>
      <c r="G153" s="34"/>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4"/>
      <c r="G154" s="34"/>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4"/>
      <c r="G155" s="34"/>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4"/>
      <c r="G156" s="34"/>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4"/>
      <c r="G157" s="34"/>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4"/>
      <c r="G158" s="34"/>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4"/>
      <c r="G159" s="34"/>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4"/>
      <c r="G160" s="34"/>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4"/>
      <c r="G161" s="34"/>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4"/>
      <c r="G162" s="34"/>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4"/>
      <c r="G163" s="34"/>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4"/>
      <c r="G164" s="34"/>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4"/>
      <c r="G165" s="34"/>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4"/>
      <c r="G166" s="34"/>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4"/>
      <c r="G167" s="34"/>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4"/>
      <c r="G168" s="34"/>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4"/>
      <c r="G169" s="34"/>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4"/>
      <c r="G170" s="34"/>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4"/>
      <c r="G171" s="34"/>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4"/>
      <c r="G172" s="34"/>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4"/>
      <c r="G173" s="34"/>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4"/>
      <c r="G174" s="34"/>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4"/>
      <c r="G175" s="34"/>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4"/>
      <c r="G176" s="34"/>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4"/>
      <c r="G177" s="34"/>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4"/>
      <c r="G178" s="34"/>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4"/>
      <c r="G179" s="34"/>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4"/>
      <c r="G180" s="34"/>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4"/>
      <c r="G181" s="34"/>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4"/>
      <c r="G182" s="34"/>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4"/>
      <c r="G183" s="34"/>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4"/>
      <c r="G184" s="34"/>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4"/>
      <c r="G185" s="34"/>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4"/>
      <c r="G186" s="34"/>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4"/>
      <c r="G187" s="34"/>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4"/>
      <c r="G188" s="34"/>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4"/>
      <c r="G189" s="34"/>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4"/>
      <c r="G190" s="34"/>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4"/>
      <c r="G191" s="34"/>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4"/>
      <c r="G192" s="34"/>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4"/>
      <c r="G193" s="34"/>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4"/>
      <c r="G194" s="34"/>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4"/>
      <c r="G195" s="34"/>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4"/>
      <c r="G196" s="34"/>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4"/>
      <c r="G197" s="34"/>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4"/>
      <c r="G198" s="34"/>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4"/>
      <c r="G199" s="34"/>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4"/>
      <c r="G200" s="34"/>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4"/>
      <c r="G201" s="34"/>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4"/>
      <c r="G202" s="34"/>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4"/>
      <c r="G203" s="34"/>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4"/>
      <c r="G204" s="34"/>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4"/>
      <c r="G205" s="34"/>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4"/>
      <c r="G206" s="34"/>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4"/>
      <c r="G207" s="34"/>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4"/>
      <c r="G208" s="34"/>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4"/>
      <c r="G209" s="34"/>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4"/>
      <c r="G210" s="34"/>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4"/>
      <c r="G211" s="34"/>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4"/>
      <c r="G212" s="34"/>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4"/>
      <c r="G213" s="34"/>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4"/>
      <c r="G214" s="34"/>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4"/>
      <c r="G215" s="34"/>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4"/>
      <c r="G216" s="34"/>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4"/>
      <c r="G217" s="34"/>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4"/>
      <c r="G218" s="34"/>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4"/>
      <c r="G219" s="34"/>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4"/>
      <c r="G220" s="34"/>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4"/>
      <c r="G221" s="34"/>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4"/>
      <c r="G222" s="34"/>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4"/>
      <c r="G223" s="34"/>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4"/>
      <c r="G224" s="34"/>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4"/>
      <c r="G225" s="34"/>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4"/>
      <c r="G226" s="34"/>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4"/>
      <c r="G227" s="34"/>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4"/>
      <c r="G228" s="34"/>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4"/>
      <c r="G229" s="34"/>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4"/>
      <c r="G230" s="34"/>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4"/>
      <c r="G231" s="34"/>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4"/>
      <c r="G232" s="34"/>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4"/>
      <c r="G233" s="34"/>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4"/>
      <c r="G234" s="34"/>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4"/>
      <c r="G235" s="34"/>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4"/>
      <c r="G236" s="34"/>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4"/>
      <c r="G237" s="34"/>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4"/>
      <c r="G238" s="34"/>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4"/>
      <c r="G239" s="34"/>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4"/>
      <c r="G240" s="34"/>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4"/>
      <c r="G241" s="34"/>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4"/>
      <c r="G242" s="34"/>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4"/>
      <c r="G243" s="34"/>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4"/>
      <c r="G244" s="34"/>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4"/>
      <c r="G245" s="34"/>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4"/>
      <c r="G246" s="34"/>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4"/>
      <c r="G247" s="34"/>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4"/>
      <c r="G248" s="34"/>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4"/>
      <c r="G249" s="34"/>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4"/>
      <c r="G250" s="34"/>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4"/>
      <c r="G251" s="34"/>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4"/>
      <c r="G252" s="34"/>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4"/>
      <c r="G253" s="34"/>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4"/>
      <c r="G254" s="34"/>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4"/>
      <c r="G255" s="34"/>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4"/>
      <c r="G256" s="34"/>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4"/>
      <c r="G257" s="34"/>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4"/>
      <c r="G258" s="34"/>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4"/>
      <c r="G259" s="34"/>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4"/>
      <c r="G260" s="34"/>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4"/>
      <c r="G261" s="34"/>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4"/>
      <c r="G262" s="34"/>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4"/>
      <c r="G263" s="34"/>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4"/>
      <c r="G264" s="34"/>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4"/>
      <c r="G265" s="34"/>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4"/>
      <c r="G266" s="34"/>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4"/>
      <c r="G267" s="34"/>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4"/>
      <c r="G268" s="34"/>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4"/>
      <c r="G269" s="34"/>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4"/>
      <c r="G270" s="34"/>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4"/>
      <c r="G271" s="34"/>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4"/>
      <c r="G272" s="34"/>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4"/>
      <c r="G273" s="34"/>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4"/>
      <c r="G274" s="34"/>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4"/>
      <c r="G275" s="34"/>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4"/>
      <c r="G276" s="34"/>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4"/>
      <c r="G277" s="34"/>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4"/>
      <c r="G278" s="34"/>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4"/>
      <c r="G279" s="34"/>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4"/>
      <c r="G280" s="34"/>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4"/>
      <c r="G281" s="34"/>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4"/>
      <c r="G282" s="34"/>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4"/>
      <c r="G283" s="34"/>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4"/>
      <c r="G284" s="34"/>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4"/>
      <c r="G285" s="34"/>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4"/>
      <c r="G286" s="34"/>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4"/>
      <c r="G287" s="34"/>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4"/>
      <c r="G288" s="34"/>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4"/>
      <c r="G289" s="34"/>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4"/>
      <c r="G290" s="34"/>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4"/>
      <c r="G291" s="34"/>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4"/>
      <c r="G292" s="34"/>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4"/>
      <c r="G293" s="34"/>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4"/>
      <c r="G294" s="34"/>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4"/>
      <c r="G295" s="34"/>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4"/>
      <c r="G296" s="34"/>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4"/>
      <c r="G297" s="34"/>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4"/>
      <c r="G298" s="34"/>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4"/>
      <c r="G299" s="34"/>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4"/>
      <c r="G300" s="34"/>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4"/>
      <c r="G301" s="34"/>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4"/>
      <c r="G302" s="34"/>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4"/>
      <c r="G303" s="34"/>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4"/>
      <c r="G304" s="34"/>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4"/>
      <c r="G305" s="34"/>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4"/>
      <c r="G306" s="34"/>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4"/>
      <c r="G307" s="34"/>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4"/>
      <c r="G308" s="34"/>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4"/>
      <c r="G309" s="34"/>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4"/>
      <c r="G310" s="34"/>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4"/>
      <c r="G311" s="34"/>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4"/>
      <c r="G312" s="34"/>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4"/>
      <c r="G313" s="34"/>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4"/>
      <c r="G314" s="34"/>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4"/>
      <c r="G315" s="34"/>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4"/>
      <c r="G316" s="34"/>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4"/>
      <c r="G317" s="34"/>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4"/>
      <c r="G318" s="34"/>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4"/>
      <c r="G319" s="34"/>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4"/>
      <c r="G320" s="34"/>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4"/>
      <c r="G321" s="34"/>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4"/>
      <c r="G322" s="34"/>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4"/>
      <c r="G323" s="34"/>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4"/>
      <c r="G324" s="34"/>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4"/>
      <c r="G325" s="34"/>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4"/>
      <c r="G326" s="34"/>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4"/>
      <c r="G327" s="34"/>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4"/>
      <c r="G328" s="34"/>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4"/>
      <c r="G329" s="34"/>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4"/>
      <c r="G330" s="34"/>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4"/>
      <c r="G331" s="34"/>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4"/>
      <c r="G332" s="34"/>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4"/>
      <c r="G333" s="34"/>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4"/>
      <c r="G334" s="34"/>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4"/>
      <c r="G335" s="34"/>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4"/>
      <c r="G336" s="34"/>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4"/>
      <c r="G337" s="34"/>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4"/>
      <c r="G338" s="34"/>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4"/>
      <c r="G339" s="34"/>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4"/>
      <c r="G340" s="34"/>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4"/>
      <c r="G341" s="34"/>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4"/>
      <c r="G342" s="34"/>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4"/>
      <c r="G343" s="34"/>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4"/>
      <c r="G344" s="34"/>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4"/>
      <c r="G345" s="34"/>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4"/>
      <c r="G346" s="34"/>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4"/>
      <c r="G347" s="34"/>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4"/>
      <c r="G348" s="34"/>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4"/>
      <c r="G349" s="34"/>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4"/>
      <c r="G350" s="34"/>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4"/>
      <c r="G351" s="34"/>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4"/>
      <c r="G352" s="34"/>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4"/>
      <c r="G353" s="34"/>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4"/>
      <c r="G354" s="34"/>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4"/>
      <c r="G355" s="34"/>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4"/>
      <c r="G356" s="34"/>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4"/>
      <c r="G357" s="34"/>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4"/>
      <c r="G358" s="34"/>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4"/>
      <c r="G359" s="34"/>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4"/>
      <c r="G360" s="34"/>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4"/>
      <c r="G361" s="34"/>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4"/>
      <c r="G362" s="34"/>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4"/>
      <c r="G363" s="34"/>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4"/>
      <c r="G364" s="34"/>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4"/>
      <c r="G365" s="34"/>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4"/>
      <c r="G366" s="34"/>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4"/>
      <c r="G367" s="34"/>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4"/>
      <c r="G368" s="34"/>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4"/>
      <c r="G369" s="34"/>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4"/>
      <c r="G370" s="34"/>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4"/>
      <c r="G371" s="34"/>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4"/>
      <c r="G372" s="34"/>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4"/>
      <c r="G373" s="34"/>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4"/>
      <c r="G374" s="34"/>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4"/>
      <c r="G375" s="34"/>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4"/>
      <c r="G376" s="34"/>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4"/>
      <c r="G377" s="34"/>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4"/>
      <c r="G378" s="34"/>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4"/>
      <c r="G379" s="34"/>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4"/>
      <c r="G380" s="34"/>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4"/>
      <c r="G381" s="34"/>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4"/>
      <c r="G382" s="34"/>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4"/>
      <c r="G383" s="34"/>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4"/>
      <c r="G384" s="34"/>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4"/>
      <c r="G385" s="34"/>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4"/>
      <c r="G386" s="34"/>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4"/>
      <c r="G387" s="34"/>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4"/>
      <c r="G388" s="34"/>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4"/>
      <c r="G389" s="34"/>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4"/>
      <c r="G390" s="34"/>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4"/>
      <c r="G391" s="34"/>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4"/>
      <c r="G392" s="34"/>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4"/>
      <c r="G393" s="34"/>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4"/>
      <c r="G394" s="34"/>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4"/>
      <c r="G395" s="34"/>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4"/>
      <c r="G396" s="34"/>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4"/>
      <c r="G397" s="34"/>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4"/>
      <c r="G398" s="34"/>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4"/>
      <c r="G399" s="34"/>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4"/>
      <c r="G400" s="34"/>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4"/>
      <c r="G401" s="34"/>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4"/>
      <c r="G402" s="34"/>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4"/>
      <c r="G403" s="34"/>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4"/>
      <c r="G404" s="34"/>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4"/>
      <c r="G405" s="34"/>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4"/>
      <c r="G406" s="34"/>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4"/>
      <c r="G407" s="34"/>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4"/>
      <c r="G408" s="34"/>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4"/>
      <c r="G409" s="34"/>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4"/>
      <c r="G410" s="34"/>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4"/>
      <c r="G411" s="34"/>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4"/>
      <c r="G412" s="34"/>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4"/>
      <c r="G413" s="34"/>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4"/>
      <c r="G414" s="34"/>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4"/>
      <c r="G415" s="34"/>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4"/>
      <c r="G416" s="34"/>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4"/>
      <c r="G417" s="34"/>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4"/>
      <c r="G418" s="34"/>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4"/>
      <c r="G419" s="34"/>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4"/>
      <c r="G420" s="34"/>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row>
    <row r="421" spans="1:282" x14ac:dyDescent="0.15">
      <c r="A421" s="1"/>
      <c r="B421" s="1"/>
      <c r="C421" s="1"/>
      <c r="D421" s="1"/>
      <c r="E421" s="1"/>
      <c r="F421" s="34"/>
      <c r="G421" s="34"/>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row>
    <row r="422" spans="1:282" x14ac:dyDescent="0.15">
      <c r="A422" s="1"/>
      <c r="B422" s="1"/>
      <c r="C422" s="1"/>
      <c r="D422" s="1"/>
      <c r="E422" s="1"/>
      <c r="F422" s="34"/>
      <c r="G422" s="34"/>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row>
    <row r="423" spans="1:282" x14ac:dyDescent="0.15">
      <c r="A423" s="1"/>
      <c r="B423" s="1"/>
      <c r="C423" s="1"/>
      <c r="D423" s="1"/>
      <c r="E423" s="1"/>
      <c r="F423" s="34"/>
      <c r="G423" s="34"/>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row>
    <row r="424" spans="1:282" x14ac:dyDescent="0.15">
      <c r="A424" s="1"/>
      <c r="B424" s="1"/>
      <c r="C424" s="1"/>
      <c r="D424" s="1"/>
      <c r="E424" s="1"/>
      <c r="F424" s="34"/>
      <c r="G424" s="34"/>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row>
    <row r="425" spans="1:282" x14ac:dyDescent="0.15">
      <c r="A425" s="1"/>
      <c r="B425" s="1"/>
      <c r="C425" s="1"/>
      <c r="D425" s="1"/>
      <c r="E425" s="1"/>
      <c r="F425" s="34"/>
      <c r="G425" s="34"/>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row>
    <row r="426" spans="1:282" x14ac:dyDescent="0.15">
      <c r="A426" s="1"/>
      <c r="B426" s="1"/>
      <c r="C426" s="1"/>
      <c r="D426" s="1"/>
      <c r="E426" s="1"/>
      <c r="F426" s="34"/>
      <c r="G426" s="34"/>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4"/>
      <c r="G427" s="34"/>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4"/>
      <c r="G428" s="34"/>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4"/>
      <c r="G429" s="34"/>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4"/>
      <c r="G430" s="34"/>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4"/>
      <c r="G431" s="34"/>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4"/>
      <c r="G432" s="34"/>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4"/>
      <c r="G433" s="34"/>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4"/>
      <c r="G434" s="34"/>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4"/>
      <c r="G435" s="34"/>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4"/>
      <c r="G436" s="34"/>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4"/>
      <c r="G437" s="34"/>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4"/>
      <c r="G438" s="34"/>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4"/>
      <c r="G439" s="34"/>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4"/>
      <c r="G440" s="34"/>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4"/>
      <c r="G441" s="34"/>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4"/>
      <c r="G442" s="34"/>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4"/>
      <c r="G443" s="34"/>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4"/>
      <c r="G444" s="34"/>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4"/>
      <c r="G445" s="34"/>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4"/>
      <c r="G446" s="34"/>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4"/>
      <c r="G447" s="34"/>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4"/>
      <c r="G448" s="34"/>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4"/>
      <c r="G449" s="34"/>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4"/>
      <c r="G450" s="34"/>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4"/>
      <c r="G451" s="34"/>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4"/>
      <c r="G452" s="34"/>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4"/>
      <c r="G453" s="34"/>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4"/>
      <c r="G454" s="34"/>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4"/>
      <c r="G455" s="34"/>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4"/>
      <c r="G456" s="34"/>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4"/>
      <c r="G457" s="34"/>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4"/>
      <c r="G458" s="34"/>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4"/>
      <c r="G459" s="34"/>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4"/>
      <c r="G460" s="34"/>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4"/>
      <c r="G461" s="34"/>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4"/>
      <c r="G462" s="34"/>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4"/>
      <c r="G463" s="34"/>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4"/>
      <c r="G464" s="34"/>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4"/>
      <c r="G465" s="34"/>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4"/>
      <c r="G466" s="34"/>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4"/>
      <c r="G467" s="34"/>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4"/>
      <c r="G468" s="34"/>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4"/>
      <c r="G469" s="34"/>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4"/>
      <c r="G470" s="34"/>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4"/>
      <c r="G471" s="34"/>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4"/>
      <c r="G472" s="34"/>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4"/>
      <c r="G473" s="34"/>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4"/>
      <c r="G474" s="34"/>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4"/>
      <c r="G475" s="34"/>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4"/>
      <c r="G476" s="34"/>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4"/>
      <c r="G477" s="34"/>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4"/>
      <c r="G478" s="34"/>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4"/>
      <c r="G479" s="34"/>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4"/>
      <c r="G480" s="34"/>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4"/>
      <c r="G481" s="34"/>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4"/>
      <c r="G482" s="34"/>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4"/>
      <c r="G483" s="34"/>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4"/>
      <c r="G484" s="34"/>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4"/>
      <c r="G485" s="34"/>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4"/>
      <c r="G486" s="34"/>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4"/>
      <c r="G487" s="34"/>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4"/>
      <c r="G488" s="34"/>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4"/>
      <c r="G489" s="34"/>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4"/>
      <c r="G490" s="34"/>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4"/>
      <c r="G491" s="34"/>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4"/>
      <c r="G492" s="34"/>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4"/>
      <c r="G493" s="34"/>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4"/>
      <c r="G494" s="34"/>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4"/>
      <c r="G495" s="34"/>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4"/>
      <c r="G496" s="34"/>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4"/>
      <c r="G497" s="34"/>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4"/>
      <c r="G498" s="34"/>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4"/>
      <c r="G499" s="34"/>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4"/>
      <c r="G500" s="34"/>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4"/>
      <c r="G501" s="34"/>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4"/>
      <c r="G502" s="34"/>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4"/>
      <c r="G503" s="34"/>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4"/>
      <c r="G504" s="34"/>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4"/>
      <c r="G505" s="34"/>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4"/>
      <c r="G506" s="34"/>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4"/>
      <c r="G507" s="34"/>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4"/>
      <c r="G508" s="34"/>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4"/>
      <c r="G509" s="34"/>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4"/>
      <c r="G510" s="34"/>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4"/>
      <c r="G511" s="34"/>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4"/>
      <c r="G512" s="34"/>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4"/>
      <c r="G513" s="34"/>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4"/>
      <c r="G514" s="34"/>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4"/>
      <c r="G515" s="34"/>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4"/>
      <c r="G516" s="34"/>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4"/>
      <c r="G517" s="34"/>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4"/>
      <c r="G518" s="34"/>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4"/>
      <c r="G519" s="34"/>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4"/>
      <c r="G520" s="34"/>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4"/>
      <c r="G521" s="34"/>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4"/>
      <c r="G522" s="34"/>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4"/>
      <c r="G523" s="34"/>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4"/>
      <c r="G524" s="34"/>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4"/>
      <c r="G525" s="34"/>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4"/>
      <c r="G526" s="34"/>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4"/>
      <c r="G527" s="34"/>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4"/>
      <c r="G528" s="34"/>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4"/>
      <c r="G529" s="34"/>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4"/>
      <c r="G530" s="34"/>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4"/>
      <c r="G531" s="34"/>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4"/>
      <c r="G532" s="34"/>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4"/>
      <c r="G533" s="34"/>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4"/>
      <c r="G534" s="34"/>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4"/>
      <c r="G535" s="34"/>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4"/>
      <c r="G536" s="34"/>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4"/>
      <c r="G537" s="34"/>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4"/>
      <c r="G538" s="34"/>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4"/>
      <c r="G539" s="34"/>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4"/>
      <c r="G540" s="34"/>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4"/>
      <c r="G541" s="34"/>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4"/>
      <c r="G542" s="34"/>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4"/>
      <c r="G543" s="34"/>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4"/>
      <c r="G544" s="34"/>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4"/>
      <c r="G545" s="34"/>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4"/>
      <c r="G546" s="34"/>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4"/>
      <c r="G547" s="34"/>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4"/>
      <c r="G548" s="34"/>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4"/>
      <c r="G549" s="34"/>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4"/>
      <c r="G550" s="34"/>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4"/>
      <c r="G551" s="34"/>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4"/>
      <c r="G552" s="34"/>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4"/>
      <c r="G553" s="34"/>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4"/>
      <c r="G554" s="34"/>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4"/>
      <c r="G555" s="34"/>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4"/>
      <c r="G556" s="34"/>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4"/>
      <c r="G557" s="34"/>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4"/>
      <c r="G558" s="34"/>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4"/>
      <c r="G559" s="34"/>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4"/>
      <c r="G560" s="34"/>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4"/>
      <c r="G561" s="34"/>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4"/>
      <c r="G562" s="34"/>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4"/>
      <c r="G563" s="34"/>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4"/>
      <c r="G564" s="34"/>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4"/>
      <c r="G565" s="34"/>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4"/>
      <c r="G566" s="34"/>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4"/>
      <c r="G567" s="34"/>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4"/>
      <c r="G568" s="34"/>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4"/>
      <c r="G569" s="34"/>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4"/>
      <c r="G570" s="34"/>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4"/>
      <c r="G571" s="34"/>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4"/>
      <c r="G572" s="34"/>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4"/>
      <c r="G573" s="34"/>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4"/>
      <c r="G574" s="34"/>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4"/>
      <c r="G575" s="34"/>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4"/>
      <c r="G576" s="34"/>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4"/>
      <c r="G577" s="34"/>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4"/>
      <c r="G578" s="34"/>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4"/>
      <c r="G579" s="34"/>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4"/>
      <c r="G580" s="34"/>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4"/>
      <c r="G581" s="34"/>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4"/>
      <c r="G582" s="34"/>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4"/>
      <c r="G583" s="34"/>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4"/>
      <c r="G584" s="34"/>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4"/>
      <c r="G585" s="34"/>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4"/>
      <c r="G586" s="34"/>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4"/>
      <c r="G587" s="34"/>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4"/>
      <c r="G588" s="34"/>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4"/>
      <c r="G589" s="34"/>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4"/>
      <c r="G590" s="34"/>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4"/>
      <c r="G591" s="34"/>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4"/>
      <c r="G592" s="34"/>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4"/>
      <c r="G593" s="34"/>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4"/>
      <c r="G594" s="34"/>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4"/>
      <c r="G595" s="34"/>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4"/>
      <c r="G596" s="34"/>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4"/>
      <c r="G597" s="34"/>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4"/>
      <c r="G598" s="34"/>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4"/>
      <c r="G599" s="34"/>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4"/>
      <c r="G600" s="34"/>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4"/>
      <c r="G601" s="34"/>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4"/>
      <c r="G602" s="34"/>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4"/>
      <c r="G603" s="34"/>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4"/>
      <c r="G604" s="34"/>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4"/>
      <c r="G605" s="34"/>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4"/>
      <c r="G606" s="34"/>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4"/>
      <c r="G607" s="34"/>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4"/>
      <c r="G608" s="34"/>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4"/>
      <c r="G609" s="34"/>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4"/>
      <c r="G610" s="34"/>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4"/>
      <c r="G611" s="34"/>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4"/>
      <c r="G612" s="34"/>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4"/>
      <c r="G613" s="34"/>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4"/>
      <c r="G614" s="34"/>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4"/>
      <c r="G615" s="34"/>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4"/>
      <c r="G616" s="34"/>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4"/>
      <c r="G617" s="34"/>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4"/>
      <c r="G618" s="34"/>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4"/>
      <c r="G619" s="34"/>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4"/>
      <c r="G620" s="34"/>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4"/>
      <c r="G621" s="34"/>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4"/>
      <c r="G622" s="34"/>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4"/>
      <c r="G623" s="34"/>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4"/>
      <c r="G624" s="34"/>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4"/>
      <c r="G625" s="34"/>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4"/>
      <c r="G626" s="34"/>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4"/>
      <c r="G627" s="34"/>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4"/>
      <c r="G628" s="34"/>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4"/>
      <c r="G629" s="34"/>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4"/>
      <c r="G630" s="34"/>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4"/>
      <c r="G631" s="34"/>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4"/>
      <c r="G632" s="34"/>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4"/>
      <c r="G633" s="34"/>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4"/>
      <c r="G634" s="34"/>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4"/>
      <c r="G635" s="34"/>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4"/>
      <c r="G636" s="34"/>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4"/>
      <c r="G637" s="34"/>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4"/>
      <c r="G638" s="34"/>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4"/>
      <c r="G639" s="34"/>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4"/>
      <c r="G640" s="34"/>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4"/>
      <c r="G641" s="34"/>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4"/>
      <c r="G642" s="34"/>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4"/>
      <c r="G643" s="34"/>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4"/>
      <c r="G644" s="34"/>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4"/>
      <c r="G645" s="34"/>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4"/>
      <c r="G646" s="34"/>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4"/>
      <c r="G647" s="34"/>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4"/>
      <c r="G648" s="34"/>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4"/>
      <c r="G649" s="34"/>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4"/>
      <c r="G650" s="34"/>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4"/>
      <c r="G651" s="34"/>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4"/>
      <c r="G652" s="34"/>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4"/>
      <c r="G653" s="34"/>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4"/>
      <c r="G654" s="34"/>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4"/>
      <c r="G655" s="34"/>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4"/>
      <c r="G656" s="34"/>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4"/>
      <c r="G657" s="34"/>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4"/>
      <c r="G658" s="34"/>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4"/>
      <c r="G659" s="34"/>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4"/>
      <c r="G660" s="34"/>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4"/>
      <c r="G661" s="34"/>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4"/>
      <c r="G662" s="34"/>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4"/>
      <c r="G663" s="34"/>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4"/>
      <c r="G664" s="34"/>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4"/>
      <c r="G665" s="34"/>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4"/>
      <c r="G666" s="34"/>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4"/>
      <c r="G667" s="34"/>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4"/>
      <c r="G668" s="34"/>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4"/>
      <c r="G669" s="34"/>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4"/>
      <c r="G670" s="34"/>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4"/>
      <c r="G671" s="34"/>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4"/>
      <c r="G672" s="34"/>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4"/>
      <c r="G673" s="34"/>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4"/>
      <c r="G674" s="34"/>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4"/>
      <c r="G675" s="34"/>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4"/>
      <c r="G676" s="34"/>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4"/>
      <c r="G677" s="34"/>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4"/>
      <c r="G678" s="34"/>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4"/>
      <c r="G679" s="34"/>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4"/>
      <c r="G680" s="34"/>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4"/>
      <c r="G681" s="34"/>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4"/>
      <c r="G682" s="34"/>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4"/>
      <c r="G683" s="34"/>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4"/>
      <c r="G684" s="34"/>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4"/>
      <c r="G685" s="34"/>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4"/>
      <c r="G686" s="34"/>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4"/>
      <c r="G687" s="34"/>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4"/>
      <c r="G688" s="34"/>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4"/>
      <c r="G689" s="34"/>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4"/>
      <c r="G690" s="34"/>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4"/>
      <c r="G691" s="34"/>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4"/>
      <c r="G692" s="34"/>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4"/>
      <c r="G693" s="34"/>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4"/>
      <c r="G694" s="34"/>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4"/>
      <c r="G695" s="34"/>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4"/>
      <c r="G696" s="34"/>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4"/>
      <c r="G697" s="34"/>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4"/>
      <c r="G698" s="34"/>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4"/>
      <c r="G699" s="34"/>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4"/>
      <c r="G700" s="34"/>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4"/>
      <c r="G701" s="34"/>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4"/>
      <c r="G702" s="34"/>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4"/>
      <c r="G703" s="34"/>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4"/>
      <c r="G704" s="34"/>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4"/>
      <c r="G705" s="34"/>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4"/>
      <c r="G706" s="34"/>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4"/>
      <c r="G707" s="34"/>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4"/>
      <c r="G708" s="34"/>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4"/>
      <c r="G709" s="34"/>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4"/>
      <c r="G710" s="34"/>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4"/>
      <c r="G711" s="34"/>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4"/>
      <c r="G712" s="34"/>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4"/>
      <c r="G713" s="34"/>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4"/>
      <c r="G714" s="34"/>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4"/>
      <c r="G715" s="34"/>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4"/>
      <c r="G716" s="34"/>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4"/>
      <c r="G717" s="34"/>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4"/>
      <c r="G718" s="34"/>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4"/>
      <c r="G719" s="34"/>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4"/>
      <c r="G720" s="34"/>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4"/>
      <c r="G721" s="34"/>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4"/>
      <c r="G722" s="34"/>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4"/>
      <c r="G723" s="34"/>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4"/>
      <c r="G724" s="34"/>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4"/>
      <c r="G725" s="34"/>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4"/>
      <c r="G726" s="34"/>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4"/>
      <c r="G727" s="34"/>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4"/>
      <c r="G728" s="34"/>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4"/>
      <c r="G729" s="34"/>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4"/>
      <c r="G730" s="34"/>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4"/>
      <c r="G731" s="34"/>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4"/>
      <c r="G732" s="34"/>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4"/>
      <c r="G733" s="34"/>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4"/>
      <c r="G734" s="34"/>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4"/>
      <c r="G735" s="34"/>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4"/>
      <c r="G736" s="34"/>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4"/>
      <c r="G737" s="34"/>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4"/>
      <c r="G738" s="34"/>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4"/>
      <c r="G739" s="34"/>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4"/>
      <c r="G740" s="34"/>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4"/>
      <c r="G741" s="34"/>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4"/>
      <c r="G742" s="34"/>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4"/>
      <c r="G743" s="34"/>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4"/>
      <c r="G744" s="34"/>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4"/>
      <c r="G745" s="34"/>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4"/>
      <c r="G746" s="34"/>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4"/>
      <c r="G747" s="34"/>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4"/>
      <c r="G748" s="34"/>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4"/>
      <c r="G749" s="34"/>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4"/>
      <c r="G750" s="34"/>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4"/>
      <c r="G751" s="34"/>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4"/>
      <c r="G752" s="34"/>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4"/>
      <c r="G753" s="34"/>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4"/>
      <c r="G754" s="34"/>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4"/>
      <c r="G755" s="34"/>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4"/>
      <c r="G756" s="34"/>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4"/>
      <c r="G757" s="34"/>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4"/>
      <c r="G758" s="34"/>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4"/>
      <c r="G759" s="34"/>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4"/>
      <c r="G760" s="34"/>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4"/>
      <c r="G761" s="34"/>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4"/>
      <c r="G762" s="34"/>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4"/>
      <c r="G763" s="34"/>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4"/>
      <c r="G764" s="34"/>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4"/>
      <c r="G765" s="34"/>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4"/>
      <c r="G766" s="34"/>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4"/>
      <c r="G767" s="34"/>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4"/>
      <c r="G768" s="34"/>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4"/>
      <c r="G769" s="34"/>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4"/>
      <c r="G770" s="34"/>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4"/>
      <c r="G771" s="34"/>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4"/>
      <c r="G772" s="34"/>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4"/>
      <c r="G773" s="34"/>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4"/>
      <c r="G774" s="34"/>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4"/>
      <c r="G775" s="34"/>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4"/>
      <c r="G776" s="34"/>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4"/>
      <c r="G777" s="34"/>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4"/>
      <c r="G778" s="34"/>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4"/>
      <c r="G779" s="34"/>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4"/>
      <c r="G780" s="34"/>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4"/>
      <c r="G781" s="34"/>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4"/>
      <c r="G782" s="34"/>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4"/>
      <c r="G783" s="34"/>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4"/>
      <c r="G784" s="34"/>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4"/>
      <c r="G785" s="34"/>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4"/>
      <c r="G786" s="34"/>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4"/>
      <c r="G787" s="34"/>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4"/>
      <c r="G788" s="34"/>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4"/>
      <c r="G789" s="34"/>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4"/>
      <c r="G790" s="34"/>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4"/>
      <c r="G791" s="34"/>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4"/>
      <c r="G792" s="34"/>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4"/>
      <c r="G793" s="34"/>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4"/>
      <c r="G794" s="34"/>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4"/>
      <c r="G795" s="34"/>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4"/>
      <c r="G796" s="34"/>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4"/>
      <c r="G797" s="34"/>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4"/>
      <c r="G798" s="34"/>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4"/>
      <c r="G799" s="34"/>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4"/>
      <c r="G800" s="34"/>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4"/>
      <c r="G801" s="34"/>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4"/>
      <c r="G802" s="34"/>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4"/>
      <c r="G803" s="34"/>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4"/>
      <c r="G804" s="34"/>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4"/>
      <c r="G805" s="34"/>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4"/>
      <c r="G806" s="34"/>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4"/>
      <c r="G807" s="34"/>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4"/>
      <c r="G808" s="34"/>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4"/>
      <c r="G809" s="34"/>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4"/>
      <c r="G810" s="34"/>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4"/>
      <c r="G811" s="34"/>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4"/>
      <c r="G812" s="34"/>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4"/>
      <c r="G813" s="34"/>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4"/>
      <c r="G814" s="34"/>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4"/>
      <c r="G815" s="34"/>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4"/>
      <c r="G816" s="34"/>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4"/>
      <c r="G817" s="34"/>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4"/>
      <c r="G818" s="34"/>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4"/>
      <c r="G819" s="34"/>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4"/>
      <c r="G820" s="34"/>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4"/>
      <c r="G821" s="34"/>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4"/>
      <c r="G822" s="34"/>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4"/>
      <c r="G823" s="34"/>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4"/>
      <c r="G824" s="34"/>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4"/>
      <c r="G825" s="34"/>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4"/>
      <c r="G826" s="34"/>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4"/>
      <c r="G827" s="34"/>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4"/>
      <c r="G828" s="34"/>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4"/>
      <c r="G829" s="34"/>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4"/>
      <c r="G830" s="34"/>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4"/>
      <c r="G831" s="34"/>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4"/>
      <c r="G832" s="34"/>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4"/>
      <c r="G833" s="34"/>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4"/>
      <c r="G834" s="34"/>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4"/>
      <c r="G835" s="34"/>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4"/>
      <c r="G836" s="34"/>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4"/>
      <c r="G837" s="34"/>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4"/>
      <c r="G838" s="34"/>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4"/>
      <c r="G839" s="34"/>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4"/>
      <c r="G840" s="34"/>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4"/>
      <c r="G841" s="34"/>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4"/>
      <c r="G842" s="34"/>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4"/>
      <c r="G843" s="34"/>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4"/>
      <c r="G844" s="34"/>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4"/>
      <c r="G845" s="34"/>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4"/>
      <c r="G846" s="34"/>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4"/>
      <c r="G847" s="34"/>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4"/>
      <c r="G848" s="34"/>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4"/>
      <c r="G849" s="34"/>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4"/>
      <c r="G850" s="34"/>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4"/>
      <c r="G851" s="34"/>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4"/>
      <c r="G852" s="34"/>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4"/>
      <c r="G853" s="34"/>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4"/>
      <c r="G854" s="34"/>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4"/>
      <c r="G855" s="34"/>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4"/>
      <c r="G856" s="34"/>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4"/>
      <c r="G857" s="34"/>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4"/>
      <c r="G858" s="34"/>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4"/>
      <c r="G859" s="34"/>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4"/>
      <c r="G860" s="34"/>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4"/>
      <c r="G861" s="34"/>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4"/>
      <c r="G862" s="34"/>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4"/>
      <c r="G863" s="34"/>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4"/>
      <c r="G864" s="34"/>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4"/>
      <c r="G865" s="34"/>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4"/>
      <c r="G866" s="34"/>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4"/>
      <c r="G867" s="34"/>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4"/>
      <c r="G868" s="34"/>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4"/>
      <c r="G869" s="34"/>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4"/>
      <c r="G870" s="34"/>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4"/>
      <c r="G871" s="34"/>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4"/>
      <c r="G872" s="34"/>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4"/>
      <c r="G873" s="34"/>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4"/>
      <c r="G874" s="34"/>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4"/>
      <c r="G875" s="34"/>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4"/>
      <c r="G876" s="34"/>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4"/>
      <c r="G877" s="34"/>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4"/>
      <c r="G878" s="34"/>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4"/>
      <c r="G879" s="34"/>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4"/>
      <c r="G880" s="34"/>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4"/>
      <c r="G881" s="34"/>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4"/>
      <c r="G882" s="34"/>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4"/>
      <c r="G883" s="34"/>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4"/>
      <c r="G884" s="34"/>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4"/>
      <c r="G885" s="34"/>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4"/>
      <c r="G886" s="34"/>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4"/>
      <c r="G887" s="34"/>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4"/>
      <c r="G888" s="34"/>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4"/>
      <c r="G889" s="34"/>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4"/>
      <c r="G890" s="34"/>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4"/>
      <c r="G891" s="34"/>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4"/>
      <c r="G892" s="34"/>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4"/>
      <c r="G893" s="34"/>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4"/>
      <c r="G894" s="34"/>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4"/>
      <c r="G895" s="34"/>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4"/>
      <c r="G896" s="34"/>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4"/>
      <c r="G897" s="34"/>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4"/>
      <c r="G898" s="34"/>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4"/>
      <c r="G899" s="34"/>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4"/>
      <c r="G900" s="34"/>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4"/>
      <c r="G901" s="34"/>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4"/>
      <c r="G902" s="34"/>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4"/>
      <c r="G903" s="34"/>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4"/>
      <c r="G904" s="34"/>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4"/>
      <c r="G905" s="34"/>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4"/>
      <c r="G906" s="34"/>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4"/>
      <c r="G907" s="34"/>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4"/>
      <c r="G908" s="34"/>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4"/>
      <c r="G909" s="34"/>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4"/>
      <c r="G910" s="34"/>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4"/>
      <c r="G911" s="34"/>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4"/>
      <c r="G912" s="34"/>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4"/>
      <c r="G913" s="34"/>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4"/>
      <c r="G914" s="34"/>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4"/>
      <c r="G915" s="34"/>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4"/>
      <c r="G916" s="34"/>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4"/>
      <c r="G917" s="34"/>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4"/>
      <c r="G918" s="34"/>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4"/>
      <c r="G919" s="34"/>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4"/>
      <c r="G920" s="34"/>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4"/>
      <c r="G921" s="34"/>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4"/>
      <c r="G922" s="34"/>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4"/>
      <c r="G923" s="34"/>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4"/>
      <c r="G924" s="34"/>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4"/>
      <c r="G925" s="34"/>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4"/>
      <c r="G926" s="34"/>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4"/>
      <c r="G927" s="34"/>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4"/>
      <c r="G928" s="34"/>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4"/>
      <c r="G929" s="34"/>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4"/>
      <c r="G930" s="34"/>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4"/>
      <c r="G931" s="34"/>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4"/>
      <c r="G932" s="34"/>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4"/>
      <c r="G933" s="34"/>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4"/>
      <c r="G934" s="34"/>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4"/>
      <c r="G935" s="34"/>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4"/>
      <c r="G936" s="34"/>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4"/>
      <c r="G937" s="34"/>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4"/>
      <c r="G938" s="34"/>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4"/>
      <c r="G939" s="34"/>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4"/>
      <c r="G940" s="34"/>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4"/>
      <c r="G941" s="34"/>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4"/>
      <c r="G942" s="34"/>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4"/>
      <c r="G943" s="34"/>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4"/>
      <c r="G944" s="34"/>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4"/>
      <c r="G945" s="34"/>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4"/>
      <c r="G946" s="34"/>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4"/>
      <c r="G947" s="34"/>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4"/>
      <c r="G948" s="34"/>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4"/>
      <c r="G949" s="34"/>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4"/>
      <c r="G950" s="34"/>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4"/>
      <c r="G951" s="34"/>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4"/>
      <c r="G952" s="34"/>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4"/>
      <c r="G953" s="34"/>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4"/>
      <c r="G954" s="34"/>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4"/>
      <c r="G955" s="34"/>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4"/>
      <c r="G956" s="34"/>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4"/>
      <c r="G957" s="34"/>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4"/>
      <c r="G958" s="34"/>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4"/>
      <c r="G959" s="34"/>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4"/>
      <c r="G960" s="34"/>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4"/>
      <c r="G961" s="34"/>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4"/>
      <c r="G962" s="34"/>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4"/>
      <c r="G963" s="34"/>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4"/>
      <c r="G964" s="34"/>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4"/>
      <c r="G965" s="34"/>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4"/>
      <c r="G966" s="34"/>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4"/>
      <c r="G967" s="34"/>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4"/>
      <c r="G968" s="34"/>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4"/>
      <c r="G969" s="34"/>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4"/>
      <c r="G970" s="34"/>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4"/>
      <c r="G971" s="34"/>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4"/>
      <c r="G972" s="34"/>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4"/>
      <c r="G973" s="34"/>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4"/>
      <c r="G974" s="34"/>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4"/>
      <c r="G975" s="34"/>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4"/>
      <c r="G976" s="34"/>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4"/>
      <c r="G977" s="34"/>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4"/>
      <c r="G978" s="34"/>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4"/>
      <c r="G979" s="34"/>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4"/>
      <c r="G980" s="34"/>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4"/>
      <c r="G981" s="34"/>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4"/>
      <c r="G982" s="34"/>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4"/>
      <c r="G983" s="34"/>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4"/>
      <c r="G984" s="34"/>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4"/>
      <c r="G985" s="34"/>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4"/>
      <c r="G986" s="34"/>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4"/>
      <c r="G987" s="34"/>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4"/>
      <c r="G988" s="34"/>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4"/>
      <c r="G989" s="34"/>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4"/>
      <c r="G990" s="34"/>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4"/>
      <c r="G991" s="34"/>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4"/>
      <c r="G992" s="34"/>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4"/>
      <c r="G993" s="34"/>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4"/>
      <c r="G994" s="34"/>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4"/>
      <c r="G995" s="34"/>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4"/>
      <c r="G996" s="34"/>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4"/>
      <c r="G997" s="34"/>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4"/>
      <c r="G998" s="34"/>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4"/>
      <c r="G999" s="34"/>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4"/>
      <c r="G1000" s="34"/>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4"/>
      <c r="G1001" s="34"/>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4"/>
      <c r="G1002" s="34"/>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4"/>
      <c r="G1003" s="34"/>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4"/>
      <c r="G1004" s="34"/>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4"/>
      <c r="G1005" s="34"/>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4"/>
      <c r="G1006" s="34"/>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4"/>
      <c r="G1007" s="34"/>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4"/>
      <c r="G1008" s="34"/>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4"/>
      <c r="G1009" s="34"/>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4"/>
      <c r="G1010" s="34"/>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4"/>
      <c r="G1011" s="34"/>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4"/>
      <c r="G1012" s="34"/>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4"/>
      <c r="G1013" s="34"/>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4"/>
      <c r="G1014" s="34"/>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4"/>
      <c r="G1015" s="34"/>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4"/>
      <c r="G1016" s="34"/>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4"/>
      <c r="G1017" s="34"/>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4"/>
      <c r="G1018" s="34"/>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4"/>
      <c r="G1019" s="34"/>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4"/>
      <c r="G1020" s="34"/>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4"/>
      <c r="G1021" s="34"/>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4"/>
      <c r="G1022" s="34"/>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4"/>
      <c r="G1023" s="34"/>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4"/>
      <c r="G1024" s="34"/>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4"/>
      <c r="G1025" s="34"/>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4"/>
      <c r="G1026" s="34"/>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4"/>
      <c r="G1027" s="34"/>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4"/>
      <c r="G1028" s="34"/>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4"/>
      <c r="G1029" s="34"/>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4"/>
      <c r="G1030" s="34"/>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4"/>
      <c r="G1031" s="34"/>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4"/>
      <c r="G1032" s="34"/>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4"/>
      <c r="G1033" s="34"/>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4"/>
      <c r="G1034" s="34"/>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4"/>
      <c r="G1035" s="34"/>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4"/>
      <c r="G1036" s="34"/>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4"/>
      <c r="G1037" s="34"/>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4"/>
      <c r="G1038" s="34"/>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4"/>
      <c r="G1039" s="34"/>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4"/>
      <c r="G1040" s="34"/>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4"/>
      <c r="G1041" s="34"/>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4"/>
      <c r="G1042" s="34"/>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4"/>
      <c r="G1043" s="34"/>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4"/>
      <c r="G1044" s="34"/>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4"/>
      <c r="G1045" s="34"/>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4"/>
      <c r="G1046" s="34"/>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4"/>
      <c r="G1047" s="34"/>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4"/>
      <c r="G1048" s="34"/>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4"/>
      <c r="G1049" s="34"/>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4"/>
      <c r="G1050" s="34"/>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4"/>
      <c r="G1051" s="34"/>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4"/>
      <c r="G1052" s="34"/>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4"/>
      <c r="G1053" s="34"/>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4"/>
      <c r="G1054" s="34"/>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4"/>
      <c r="G1055" s="34"/>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4"/>
      <c r="G1056" s="34"/>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4"/>
      <c r="G1057" s="34"/>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4"/>
      <c r="G1058" s="34"/>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4"/>
      <c r="G1059" s="34"/>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4"/>
      <c r="G1060" s="34"/>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4"/>
      <c r="G1061" s="34"/>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4"/>
      <c r="G1062" s="34"/>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4"/>
      <c r="G1063" s="34"/>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4"/>
      <c r="G1064" s="34"/>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4"/>
      <c r="G1065" s="34"/>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4"/>
      <c r="G1066" s="34"/>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4"/>
      <c r="G1067" s="34"/>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4"/>
      <c r="G1068" s="34"/>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4"/>
      <c r="G1069" s="34"/>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4"/>
      <c r="G1070" s="34"/>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4"/>
      <c r="G1071" s="34"/>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4"/>
      <c r="G1072" s="34"/>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4"/>
      <c r="G1073" s="34"/>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4"/>
      <c r="G1074" s="34"/>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4"/>
      <c r="G1075" s="34"/>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4"/>
      <c r="G1076" s="34"/>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4"/>
      <c r="G1077" s="34"/>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4"/>
      <c r="G1078" s="34"/>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4"/>
      <c r="G1079" s="34"/>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4"/>
      <c r="G1080" s="34"/>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4"/>
      <c r="G1081" s="34"/>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4"/>
      <c r="G1082" s="34"/>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4"/>
      <c r="G1083" s="34"/>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4"/>
      <c r="G1084" s="34"/>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4"/>
      <c r="G1085" s="34"/>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4"/>
      <c r="G1086" s="34"/>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4"/>
      <c r="G1087" s="34"/>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4"/>
      <c r="G1088" s="34"/>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4"/>
      <c r="G1089" s="34"/>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4"/>
      <c r="G1090" s="34"/>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4"/>
      <c r="G1091" s="34"/>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4"/>
      <c r="G1092" s="34"/>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4"/>
      <c r="G1093" s="34"/>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4"/>
      <c r="G1094" s="34"/>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4"/>
      <c r="G1095" s="34"/>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4"/>
      <c r="G1096" s="34"/>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4"/>
      <c r="G1097" s="34"/>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4"/>
      <c r="G1098" s="34"/>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4"/>
      <c r="G1099" s="34"/>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4"/>
      <c r="G1100" s="34"/>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4"/>
      <c r="G1101" s="34"/>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4"/>
      <c r="G1102" s="34"/>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4"/>
      <c r="G1103" s="34"/>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4"/>
      <c r="G1104" s="34"/>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4"/>
      <c r="G1105" s="34"/>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4"/>
      <c r="G1106" s="34"/>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4"/>
      <c r="G1107" s="34"/>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4"/>
      <c r="G1108" s="34"/>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4"/>
      <c r="G1109" s="34"/>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row r="1110" spans="1:282" x14ac:dyDescent="0.15">
      <c r="A1110" s="1"/>
      <c r="B1110" s="1"/>
      <c r="C1110" s="1"/>
      <c r="D1110" s="1"/>
      <c r="E1110" s="1"/>
      <c r="F1110" s="34"/>
      <c r="G1110" s="34"/>
      <c r="H1110" s="1"/>
      <c r="I1110" s="1"/>
      <c r="J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row>
    <row r="1111" spans="1:282" x14ac:dyDescent="0.15">
      <c r="A1111" s="1"/>
      <c r="B1111" s="1"/>
      <c r="C1111" s="1"/>
      <c r="D1111" s="1"/>
      <c r="E1111" s="1"/>
      <c r="F1111" s="34"/>
      <c r="G1111" s="34"/>
      <c r="H1111" s="1"/>
      <c r="I1111" s="1"/>
      <c r="J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row>
    <row r="1112" spans="1:282" x14ac:dyDescent="0.15">
      <c r="A1112" s="1"/>
      <c r="B1112" s="1"/>
      <c r="C1112" s="1"/>
      <c r="D1112" s="1"/>
      <c r="E1112" s="1"/>
      <c r="F1112" s="34"/>
      <c r="G1112" s="34"/>
      <c r="H1112" s="1"/>
      <c r="I1112" s="1"/>
      <c r="J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row>
    <row r="1113" spans="1:282" x14ac:dyDescent="0.15">
      <c r="A1113" s="1"/>
      <c r="B1113" s="1"/>
      <c r="C1113" s="1"/>
      <c r="D1113" s="1"/>
      <c r="E1113" s="1"/>
      <c r="F1113" s="34"/>
      <c r="G1113" s="34"/>
      <c r="H1113" s="1"/>
      <c r="I1113" s="1"/>
      <c r="J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row>
    <row r="1114" spans="1:282" x14ac:dyDescent="0.15">
      <c r="A1114" s="1"/>
      <c r="B1114" s="1"/>
      <c r="C1114" s="1"/>
      <c r="D1114" s="1"/>
      <c r="E1114" s="1"/>
      <c r="F1114" s="34"/>
      <c r="G1114" s="34"/>
      <c r="H1114" s="1"/>
      <c r="I1114" s="1"/>
      <c r="J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row>
    <row r="1115" spans="1:282" x14ac:dyDescent="0.15">
      <c r="A1115" s="1"/>
      <c r="B1115" s="1"/>
      <c r="C1115" s="1"/>
      <c r="D1115" s="1"/>
      <c r="E1115" s="1"/>
      <c r="F1115" s="34"/>
      <c r="G1115" s="34"/>
      <c r="H1115" s="1"/>
      <c r="I1115" s="1"/>
      <c r="J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row>
  </sheetData>
  <mergeCells count="16">
    <mergeCell ref="G25:G26"/>
    <mergeCell ref="H25:H26"/>
    <mergeCell ref="I25:I26"/>
    <mergeCell ref="B40:B41"/>
    <mergeCell ref="B25:B26"/>
    <mergeCell ref="C25:C26"/>
    <mergeCell ref="D25:D26"/>
    <mergeCell ref="E25:E26"/>
    <mergeCell ref="F25:F26"/>
    <mergeCell ref="I40:I41"/>
    <mergeCell ref="C40:C41"/>
    <mergeCell ref="D40:D41"/>
    <mergeCell ref="E40:E41"/>
    <mergeCell ref="F40:F41"/>
    <mergeCell ref="G40:G41"/>
    <mergeCell ref="H40:H41"/>
  </mergeCells>
  <phoneticPr fontId="3" type="noConversion"/>
  <conditionalFormatting sqref="D8:D25 D27:D40 D42:D69">
    <cfRule type="containsText" dxfId="3" priority="1" operator="containsText" text="On Hold">
      <formula>NOT(ISERROR(SEARCH("On Hold",D8)))</formula>
    </cfRule>
    <cfRule type="containsText" dxfId="2" priority="2" operator="containsText" text="Complete">
      <formula>NOT(ISERROR(SEARCH("Complete",D8)))</formula>
    </cfRule>
    <cfRule type="containsText" dxfId="1" priority="3" operator="containsText" text="In Progress">
      <formula>NOT(ISERROR(SEARCH("In Progress",D8)))</formula>
    </cfRule>
    <cfRule type="containsText" dxfId="0" priority="4" operator="containsText" text="Not Started">
      <formula>NOT(ISERROR(SEARCH("Not Started",D8)))</formula>
    </cfRule>
  </conditionalFormatting>
  <dataValidations count="1">
    <dataValidation type="list" allowBlank="1" showInputMessage="1" showErrorMessage="1" sqref="D27:D40 D42:D69 D8:D25" xr:uid="{FAB73A35-6353-0041-8874-8B5EFE2E105A}">
      <formula1>#REF!</formula1>
    </dataValidation>
  </dataValidations>
  <pageMargins left="0.3" right="0.3" top="0.3" bottom="0.3" header="0" footer="0"/>
  <pageSetup scale="7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25</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Earthquakes</vt:lpstr>
      <vt:lpstr>-Disclaimer-</vt:lpstr>
      <vt:lpstr>Earthquakes!Print_Area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2025-12-04T03:42:40Z</dcterms:modified>
</cp:coreProperties>
</file>